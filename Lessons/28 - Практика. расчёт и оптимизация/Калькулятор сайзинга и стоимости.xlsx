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к пользоваться" sheetId="1" state="visible" r:id="rId3"/>
    <sheet name="Цены и константы" sheetId="2" state="visible" r:id="rId4"/>
    <sheet name="Доставка еды" sheetId="3" state="visible" r:id="rId5"/>
    <sheet name="Платёжный сервис" sheetId="4" state="visible" r:id="rId6"/>
    <sheet name="Бронирование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<sst xmlns="http://schemas.openxmlformats.org/spreadsheetml/2006/main" count="408" uniqueCount="207">
  <si>
    <t xml:space="preserve">Калькулятор сайзинга и стоимости</t>
  </si>
  <si>
    <t xml:space="preserve">ДЗ 4 «Сайзинг, стоимость и оптимизация» · курс System Design</t>
  </si>
  <si>
    <t xml:space="preserve">Что это</t>
  </si>
  <si>
    <t xml:space="preserve">Рабочий лист для расчёта нагрузки и стоимости трёх систем из домашнего задания. Все формулы уже введены: вы меняете исходные данные и допущения, а расчёт пересчитывается сам.</t>
  </si>
  <si>
    <t xml:space="preserve">Калькулятор не заменяет работу — он снимает арифметику, чтобы вы тратили время на выводы, а не на перемножение чисел. Разбираться, откуда взялась каждая формула, всё равно придётся: в сдаваемой работе формулы нужно привести и пояснить.</t>
  </si>
  <si>
    <t xml:space="preserve">Цвета ячеек</t>
  </si>
  <si>
    <t xml:space="preserve">СЕРЫЕ — исходные данные из задания. Менять не нужно.</t>
  </si>
  <si>
    <t xml:space="preserve">ЖЁЛТЫЕ — ваши допущения. Это главное, что вы делаете руками: подставьте свои значения и будьте готовы их обосновать. Значения по умолчанию — просто разумный ориентир, не истина.</t>
  </si>
  <si>
    <t xml:space="preserve">БЕЛЫЕ — расчёт. Формулы, не трогайте.</t>
  </si>
  <si>
    <t xml:space="preserve">ЗЕЛЁНЫЕ — ключевые результаты, которые пойдут в работу.</t>
  </si>
  <si>
    <t xml:space="preserve">Порядок работы</t>
  </si>
  <si>
    <t xml:space="preserve">1.  Откройте лист своей системы.</t>
  </si>
  <si>
    <t xml:space="preserve">2.  Пройдите жёлтый блок «Ваши допущения» сверху вниз. Это не формальность: в задании дано только целевое действие, а нагрузку создаёт чтение — его объём определяете вы.</t>
  </si>
  <si>
    <t xml:space="preserve">3.  Посмотрите на блок «Счёт»: где доля больше всего? Это и есть ответ на главный вопрос.</t>
  </si>
  <si>
    <t xml:space="preserve">4.  Заполните блок «Оптимизации» — он не считается автоматически, это ваша работа.</t>
  </si>
  <si>
    <t xml:space="preserve">5.  Перенесите расчёты и выводы в сдаваемый документ с пояснениями.</t>
  </si>
  <si>
    <t xml:space="preserve">Важные оговорки</t>
  </si>
  <si>
    <t xml:space="preserve">Цены на листе «Цены и константы» — условные и провайдер-агностик. У конкретного облака цифры другие, но структура счёта та же. Хотите точнее — подставьте свои.</t>
  </si>
  <si>
    <t xml:space="preserve">Считаем ПОРЯДОК ВЕЛИЧИНЫ. Расхождение с соседом в полтора-два раза — норма, в десять раз — повод искать ошибку.</t>
  </si>
  <si>
    <t xml:space="preserve">Калькулятор не умеет за вас: выбрать узкое место, придумать оптимизацию и назвать её цену. Ровно за это в работе и ставится оценка.</t>
  </si>
  <si>
    <t xml:space="preserve">Договорённость группы по неоднозначным параметрам</t>
  </si>
  <si>
    <t xml:space="preserve">«2 заказа на пользователя в неделю» и «1 бронирование в месяц» считаем ОТ MAU, не от DAU. Иначе результаты в группе различаются в десять раз и работы несравнимы. В формулах это уже учтено.</t>
  </si>
  <si>
    <t xml:space="preserve">Цены и константы</t>
  </si>
  <si>
    <t xml:space="preserve">ЦЕНЫ — условные, провайдер-агностик</t>
  </si>
  <si>
    <t xml:space="preserve">Инстанс 4 vCPU / 16 ГБ</t>
  </si>
  <si>
    <t xml:space="preserve">$/мес</t>
  </si>
  <si>
    <t xml:space="preserve">Базовая «рабочая лошадка». 8 vCPU — вдвое дороже</t>
  </si>
  <si>
    <t xml:space="preserve">Отдельный vCPU</t>
  </si>
  <si>
    <t xml:space="preserve">Для расчёта нод БД</t>
  </si>
  <si>
    <t xml:space="preserve">Объектное хранилище, горячее</t>
  </si>
  <si>
    <t xml:space="preserve">$/ТБ-мес</t>
  </si>
  <si>
    <t xml:space="preserve">$0.023 за ГБ</t>
  </si>
  <si>
    <t xml:space="preserve">Объектное хранилище, архив</t>
  </si>
  <si>
    <t xml:space="preserve">$0.004 за ГБ, плюс плата за извлечение</t>
  </si>
  <si>
    <t xml:space="preserve">Блочный SSD под базу</t>
  </si>
  <si>
    <t xml:space="preserve">$0.10 за ГБ — самый дорогой тир</t>
  </si>
  <si>
    <t xml:space="preserve">Трафик наружу с серверов</t>
  </si>
  <si>
    <t xml:space="preserve">$/ГБ</t>
  </si>
  <si>
    <t xml:space="preserve">Ingress (внутрь облака) бесплатен</t>
  </si>
  <si>
    <t xml:space="preserve">Трафик через CDN</t>
  </si>
  <si>
    <t xml:space="preserve">На больших объёмах медиа — до $0.02</t>
  </si>
  <si>
    <t xml:space="preserve">Множитель managed-сервиса</t>
  </si>
  <si>
    <t xml:space="preserve">×</t>
  </si>
  <si>
    <t xml:space="preserve">Премия за то, что базу обслуживает провайдер</t>
  </si>
  <si>
    <t xml:space="preserve">ИНЖЕНЕРНЫЕ КОНСТАНТЫ</t>
  </si>
  <si>
    <t xml:space="preserve">Запросов в секунду на инстанс</t>
  </si>
  <si>
    <t xml:space="preserve">RPS</t>
  </si>
  <si>
    <t xml:space="preserve">Зависит от профиля: с тяжёлым обращением к БД — в 5–10 раз меньше</t>
  </si>
  <si>
    <t xml:space="preserve">Множитель запаса на отказ и деплой</t>
  </si>
  <si>
    <t xml:space="preserve">N+1, вторая зона, выкатка новой версии</t>
  </si>
  <si>
    <t xml:space="preserve">Накладные расходы в базе</t>
  </si>
  <si>
    <t xml:space="preserve">Индексы, журнал транзакций, реплика, бэкапы</t>
  </si>
  <si>
    <t xml:space="preserve">Секунд в сутках</t>
  </si>
  <si>
    <t xml:space="preserve">с</t>
  </si>
  <si>
    <t xml:space="preserve">Не менять</t>
  </si>
  <si>
    <t xml:space="preserve">Жёлтые ячейки можно менять — весь расчёт на листах систем пересчитается.</t>
  </si>
  <si>
    <t xml:space="preserve">Доставка еды</t>
  </si>
  <si>
    <t xml:space="preserve">5 млн MAU · 500K DAU · 2 заказа в неделю · пик ×3</t>
  </si>
  <si>
    <t xml:space="preserve">1. ВВОДНЫЕ ИЗ ЗАДАНИЯ — менять не нужно</t>
  </si>
  <si>
    <t xml:space="preserve">MAU — уникальных пользователей в месяц</t>
  </si>
  <si>
    <t xml:space="preserve">DAU — активных в день</t>
  </si>
  <si>
    <t xml:space="preserve">Peak Factor</t>
  </si>
  <si>
    <t xml:space="preserve">Обед 12:00–14:00 и вечер 18:00–21:00</t>
  </si>
  <si>
    <t xml:space="preserve">Заказов в сутки</t>
  </si>
  <si>
    <t xml:space="preserve">2 заказа в неделю от MAU — договорённость группы</t>
  </si>
  <si>
    <t xml:space="preserve">2. ВАШИ ДОПУЩЕНИЯ — заполните и будьте готовы обосновать</t>
  </si>
  <si>
    <t xml:space="preserve">В задании дан только объём заказов. Всё остальное — ваша оценка. Значения по умолчанию — ориентир, а не истина: меняйте их, если считаете иначе, но зафиксируйте обоснование в работе.</t>
  </si>
  <si>
    <t xml:space="preserve">Запросов при оформлении одного заказа</t>
  </si>
  <si>
    <t xml:space="preserve">Каталог, корзина, адрес, оплата, подтверждение — это не один запрос</t>
  </si>
  <si>
    <t xml:space="preserve">Событий статуса на заказ</t>
  </si>
  <si>
    <t xml:space="preserve">Создан, оплачен, принят, готовится, в пути, доставлен…</t>
  </si>
  <si>
    <t xml:space="preserve">Минут клиент следит за курьером на карте</t>
  </si>
  <si>
    <t xml:space="preserve">мин</t>
  </si>
  <si>
    <t xml:space="preserve">Секунд между обновлениями карты у клиента</t>
  </si>
  <si>
    <t xml:space="preserve">Сейчас приложение само опрашивает сервер. Обратите внимание на этот параметр</t>
  </si>
  <si>
    <t xml:space="preserve">Курьеров онлайн одновременно, пик</t>
  </si>
  <si>
    <t xml:space="preserve">Курьеров онлайн одновременно, среднее</t>
  </si>
  <si>
    <t xml:space="preserve">Секунд между GPS-точками курьера</t>
  </si>
  <si>
    <t xml:space="preserve">Размер GPS-точки в хранилище</t>
  </si>
  <si>
    <t xml:space="preserve">байт</t>
  </si>
  <si>
    <t xml:space="preserve">С индексами</t>
  </si>
  <si>
    <t xml:space="preserve">Размер записи о заказе</t>
  </si>
  <si>
    <t xml:space="preserve">КБ</t>
  </si>
  <si>
    <t xml:space="preserve">Позиции, адрес, статусы, оплата</t>
  </si>
  <si>
    <t xml:space="preserve">Средний размер ответа API</t>
  </si>
  <si>
    <t xml:space="preserve">JSON без картинок</t>
  </si>
  <si>
    <t xml:space="preserve">Сколько дней данные лежат в горячем хранилище</t>
  </si>
  <si>
    <t xml:space="preserve">дней</t>
  </si>
  <si>
    <t xml:space="preserve">Дальше — в архив</t>
  </si>
  <si>
    <t xml:space="preserve">Горизонт хранения</t>
  </si>
  <si>
    <t xml:space="preserve">лет</t>
  </si>
  <si>
    <t xml:space="preserve">3. RPS — запросов в секунду</t>
  </si>
  <si>
    <t xml:space="preserve">Запись: GPS-точки курьеров, пик</t>
  </si>
  <si>
    <t xml:space="preserve">Запись: события статуса заказов, пик</t>
  </si>
  <si>
    <t xml:space="preserve">Запись: оформление заказов, пик</t>
  </si>
  <si>
    <t xml:space="preserve">ИТОГО ЗАПИСЬ, пик</t>
  </si>
  <si>
    <t xml:space="preserve">Обращений на один заказ при слежении</t>
  </si>
  <si>
    <t xml:space="preserve">Обращений слежения в сутки</t>
  </si>
  <si>
    <t xml:space="preserve">Чтение: слежение за курьером, пик</t>
  </si>
  <si>
    <t xml:space="preserve">Прочих запросов в сутки</t>
  </si>
  <si>
    <t xml:space="preserve">Чтение: прочий API, пик</t>
  </si>
  <si>
    <t xml:space="preserve">ИТОГО ЧТЕНИЕ, пик</t>
  </si>
  <si>
    <t xml:space="preserve">Доля чтения во всей нагрузке</t>
  </si>
  <si>
    <t xml:space="preserve">Посмотрите на эту цифру внимательно</t>
  </si>
  <si>
    <t xml:space="preserve">4. ХРАНИЛИЩЕ</t>
  </si>
  <si>
    <t xml:space="preserve">Объём GPS-треков в сутки, сырой</t>
  </si>
  <si>
    <t xml:space="preserve">ГБ</t>
  </si>
  <si>
    <t xml:space="preserve">Объём заказов и событий в сутки, сырой</t>
  </si>
  <si>
    <t xml:space="preserve">Всего в сутки с накладными</t>
  </si>
  <si>
    <t xml:space="preserve">Индексы, реплика, бэкапы</t>
  </si>
  <si>
    <t xml:space="preserve">Объём за 1 год</t>
  </si>
  <si>
    <t xml:space="preserve">ТБ</t>
  </si>
  <si>
    <t xml:space="preserve">Объём за горизонт хранения</t>
  </si>
  <si>
    <t xml:space="preserve">в т.ч. горячее</t>
  </si>
  <si>
    <t xml:space="preserve">в т.ч. архив</t>
  </si>
  <si>
    <t xml:space="preserve">5. BANDWIDTH — трафик наружу</t>
  </si>
  <si>
    <t xml:space="preserve">Трафик в сутки</t>
  </si>
  <si>
    <t xml:space="preserve">Трафик в месяц</t>
  </si>
  <si>
    <t xml:space="preserve">6. РЕСУРСЫ</t>
  </si>
  <si>
    <t xml:space="preserve">Инстансов приложения</t>
  </si>
  <si>
    <t xml:space="preserve">шт</t>
  </si>
  <si>
    <t xml:space="preserve">С запасом на отказ и выкатку</t>
  </si>
  <si>
    <t xml:space="preserve">Нод базы данных</t>
  </si>
  <si>
    <t xml:space="preserve">Мастер + реплики</t>
  </si>
  <si>
    <t xml:space="preserve">vCPU на ноду базы</t>
  </si>
  <si>
    <t xml:space="preserve">Диск SSD под базу</t>
  </si>
  <si>
    <t xml:space="preserve">Горячие данные + запас</t>
  </si>
  <si>
    <t xml:space="preserve">Стоимость кэша и очереди</t>
  </si>
  <si>
    <t xml:space="preserve">$</t>
  </si>
  <si>
    <t xml:space="preserve">Managed Redis + брокер, оценка</t>
  </si>
  <si>
    <t xml:space="preserve">7. СЧЁТ ЗА МЕСЯЦ</t>
  </si>
  <si>
    <t xml:space="preserve">Compute — серверы приложения</t>
  </si>
  <si>
    <t xml:space="preserve">База данных (managed)</t>
  </si>
  <si>
    <t xml:space="preserve">Managed всего</t>
  </si>
  <si>
    <t xml:space="preserve">Storage — хранилище</t>
  </si>
  <si>
    <t xml:space="preserve">Network — трафик наружу</t>
  </si>
  <si>
    <t xml:space="preserve">ИТОГО В МЕСЯЦ</t>
  </si>
  <si>
    <t xml:space="preserve">доля Compute</t>
  </si>
  <si>
    <t xml:space="preserve">доля Managed</t>
  </si>
  <si>
    <t xml:space="preserve">доля Storage</t>
  </si>
  <si>
    <t xml:space="preserve">доля Network</t>
  </si>
  <si>
    <t xml:space="preserve">СТОИМОСТЬ ОДНОГО ПОЛЬЗОВАТЕЛЯ В МЕСЯЦ</t>
  </si>
  <si>
    <t xml:space="preserve">Сравните с тем, сколько пользователь приносит</t>
  </si>
  <si>
    <t xml:space="preserve">8. ОПТИМИЗАЦИИ — заполняется вручную</t>
  </si>
  <si>
    <t xml:space="preserve">Это единственный блок, который калькулятор не считает. Сначала посмотрите на доли в блоке 7: оптимизация, затрагивающая меньше 5% счёта, не стоит усилий. Колонка «чем платим» обязательна — бесплатных оптимизаций не бывает.</t>
  </si>
  <si>
    <t xml:space="preserve">Что делаем</t>
  </si>
  <si>
    <t xml:space="preserve">Экономия, $/мес</t>
  </si>
  <si>
    <t xml:space="preserve">Доля счёта</t>
  </si>
  <si>
    <t xml:space="preserve">Чем платим</t>
  </si>
  <si>
    <t xml:space="preserve">Платёжный сервис</t>
  </si>
  <si>
    <t xml:space="preserve">10 млн MAU · 1 млн DAU · 5 транзакций в день · пик ×4</t>
  </si>
  <si>
    <t xml:space="preserve">Дни зарплат и распродаж</t>
  </si>
  <si>
    <t xml:space="preserve">Транзакций в сутки</t>
  </si>
  <si>
    <t xml:space="preserve">5 транзакций на активного пользователя в день</t>
  </si>
  <si>
    <t xml:space="preserve">В задании дан только объём транзакций. Нагрузку на чтение — проверки баланса, история операций — оцениваете вы. Для платёжного сервиса отдельно важны срок хранения и объём аудита: это требование регулятора, а не ваш выбор.</t>
  </si>
  <si>
    <t xml:space="preserve">Запросов на одну транзакцию</t>
  </si>
  <si>
    <t xml:space="preserve">Проверка баланса, лимиты, антифрод, проводка, уведомление</t>
  </si>
  <si>
    <t xml:space="preserve">Проверок баланса на пользователя в день</t>
  </si>
  <si>
    <t xml:space="preserve">Открыл приложение — увидел баланс</t>
  </si>
  <si>
    <t xml:space="preserve">Просмотров истории на пользователя в день</t>
  </si>
  <si>
    <t xml:space="preserve">Запросов на один экран чтения</t>
  </si>
  <si>
    <t xml:space="preserve">Fan-out: баланс, лента, курсы</t>
  </si>
  <si>
    <t xml:space="preserve">Размер записи о транзакции</t>
  </si>
  <si>
    <t xml:space="preserve">Множитель аудит-лога</t>
  </si>
  <si>
    <t xml:space="preserve">На каждую транзакцию пишется история изменений и события антифрода</t>
  </si>
  <si>
    <t xml:space="preserve">Свежая история под рукой, остальное в архив</t>
  </si>
  <si>
    <t xml:space="preserve">Требование регулятора и бухучёта</t>
  </si>
  <si>
    <t xml:space="preserve">Запись: транзакции, пик</t>
  </si>
  <si>
    <t xml:space="preserve">Запись: аудит-лог, пик</t>
  </si>
  <si>
    <t xml:space="preserve">Запросов на проверку баланса в сутки</t>
  </si>
  <si>
    <t xml:space="preserve">Запросов на историю в сутки</t>
  </si>
  <si>
    <t xml:space="preserve">Запросов внутри транзакций в сутки</t>
  </si>
  <si>
    <t xml:space="preserve">Всего запросов чтения в сутки</t>
  </si>
  <si>
    <t xml:space="preserve">Объём транзакций в сутки, сырой</t>
  </si>
  <si>
    <t xml:space="preserve">Объём аудит-лога в сутки, сырой</t>
  </si>
  <si>
    <t xml:space="preserve">Объём за 3 года</t>
  </si>
  <si>
    <t xml:space="preserve">Данные удалить нельзя — регулятор</t>
  </si>
  <si>
    <t xml:space="preserve">Строгая консистентность и failover — экономить здесь нельзя</t>
  </si>
  <si>
    <t xml:space="preserve">Горячие данные; архив уезжает в объектное хранилище</t>
  </si>
  <si>
    <t xml:space="preserve">Бронирование</t>
  </si>
  <si>
    <t xml:space="preserve">3 млн MAU · 300K DAU · 1 бронирование в месяц · пик ×5</t>
  </si>
  <si>
    <t xml:space="preserve">Сезон отпусков</t>
  </si>
  <si>
    <t xml:space="preserve">Бронирований в сутки</t>
  </si>
  <si>
    <t xml:space="preserve">1 бронирование в месяц от MAU — договорённость группы</t>
  </si>
  <si>
    <t xml:space="preserve">Здесь допущения решают всё. Само бронирование — редкое событие, но до него человек долго ищет и сравнивает. Именно поиск и просмотры создают нагрузку, и их объём определяете вы. Если поставить эти параметры в единицу, задача выродится.</t>
  </si>
  <si>
    <t xml:space="preserve">Просмотров карточек на одно бронирование</t>
  </si>
  <si>
    <t xml:space="preserve">Человек сравнивает варианты, прежде чем забронировать</t>
  </si>
  <si>
    <t xml:space="preserve">Поисковых запросов на одно бронирование</t>
  </si>
  <si>
    <t xml:space="preserve">Поиск по датам, городу, фильтрам</t>
  </si>
  <si>
    <t xml:space="preserve">Запросов на один просмотр карточки</t>
  </si>
  <si>
    <t xml:space="preserve">Описание, фото, отзывы, доступность дат</t>
  </si>
  <si>
    <t xml:space="preserve">Запросов на один поиск</t>
  </si>
  <si>
    <t xml:space="preserve">Сам поиск и подгрузка следующей страницы</t>
  </si>
  <si>
    <t xml:space="preserve">Размер записи о бронировании</t>
  </si>
  <si>
    <t xml:space="preserve">Гость, даты, объект, оплата, статус</t>
  </si>
  <si>
    <t xml:space="preserve">Карточки объектов тяжелее обычного JSON</t>
  </si>
  <si>
    <t xml:space="preserve">Запись: бронирования, пик</t>
  </si>
  <si>
    <t xml:space="preserve">Обратите внимание, насколько это мало</t>
  </si>
  <si>
    <t xml:space="preserve">Запросов на просмотры в сутки</t>
  </si>
  <si>
    <t xml:space="preserve">Запросов на поиск в сутки</t>
  </si>
  <si>
    <t xml:space="preserve">Во сколько раз чтения больше записи</t>
  </si>
  <si>
    <t xml:space="preserve">Классический read-heavy профиль</t>
  </si>
  <si>
    <t xml:space="preserve">Объём бронирований в сутки, сырой</t>
  </si>
  <si>
    <t xml:space="preserve">Объём логов поиска и просмотров в сутки</t>
  </si>
  <si>
    <t xml:space="preserve">0.2 КБ на запись лога — тоже допущение, можете изменить</t>
  </si>
  <si>
    <t xml:space="preserve">Стоимость кэша, поиска и очереди</t>
  </si>
  <si>
    <t xml:space="preserve">Redis + поисковый движок: для read-heavy это отдельная статья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</si>
</sst>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##"/>
    <numFmt numFmtId="166" formatCode="0.0%"/>
    <numFmt numFmtId="167" formatCode="#,##0"/>
    <numFmt numFmtId="168" formatCode="#,##0.000"/>
  </numFmts>
  <fonts count="10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5"/>
      <color rgb="FF1A1A2E"/>
      <name val="Arial"/>
      <family val="0"/>
      <charset val="1"/>
    </font>
    <font>
      <i val="true"/>
      <sz val="9"/>
      <color rgb="FF6B6B78"/>
      <name val="Arial"/>
      <family val="0"/>
      <charset val="1"/>
    </font>
    <font>
      <b val="true"/>
      <sz val="11"/>
      <color rgb="FFD13B2E"/>
      <name val="Arial"/>
      <family val="0"/>
      <charset val="1"/>
    </font>
    <font>
      <sz val="10"/>
      <color rgb="FF2B2B3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2B2B35"/>
      </patternFill>
    </fill>
    <fill>
      <patternFill patternType="solid">
        <fgColor rgb="FFFFF6D9"/>
        <bgColor rgb="FFF2F2F5"/>
      </patternFill>
    </fill>
    <fill>
      <patternFill patternType="solid">
        <fgColor rgb="FFF2F2F5"/>
        <bgColor rgb="FFE4F2E9"/>
      </patternFill>
    </fill>
    <fill>
      <patternFill patternType="solid">
        <fgColor rgb="FFE4F2E9"/>
        <bgColor rgb="FFF2F2F5"/>
      </patternFill>
    </fill>
    <fill>
      <patternFill patternType="solid">
        <fgColor rgb="FFE6E6EC"/>
        <bgColor rgb="FFE4F2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5DC"/>
      </left>
      <right style="thin">
        <color rgb="FFD5D5DC"/>
      </right>
      <top style="thin">
        <color rgb="FFD5D5DC"/>
      </top>
      <bottom style="thin">
        <color rgb="FFD5D5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9"/>
      <rgbColor rgb="FFE4F2E9"/>
      <rgbColor rgb="FF660066"/>
      <rgbColor rgb="FFFF8080"/>
      <rgbColor rgb="FF0066CC"/>
      <rgbColor rgb="FFD5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5"/>
      <rgbColor rgb="FFE6E6E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78"/>
      <rgbColor rgb="FF969696"/>
      <rgbColor rgb="FF003366"/>
      <rgbColor rgb="FF339966"/>
      <rgbColor rgb="FF003300"/>
      <rgbColor rgb="FF1A1A2E"/>
      <rgbColor rgb="FFD13B2E"/>
      <rgbColor rgb="FF993366"/>
      <rgbColor rgb="FF333399"/>
      <rgbColor rgb="FF2B2B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8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21.75" hidden="false" customHeight="true" outlineLevel="0" collapsed="false">
      <c r="B5" s="4" t="s">
        <v>2</v>
      </c>
    </row>
    <row r="6" customFormat="false" ht="42" hidden="false" customHeight="true" outlineLevel="0" collapsed="false">
      <c r="B6" s="5" t="s">
        <v>3</v>
      </c>
    </row>
    <row r="7" customFormat="false" ht="42" hidden="false" customHeight="true" outlineLevel="0" collapsed="false">
      <c r="B7" s="5" t="s">
        <v>4</v>
      </c>
    </row>
    <row r="8" customFormat="false" ht="15" hidden="false" customHeight="false" outlineLevel="0" collapsed="false">
      <c r="B8" s="3"/>
    </row>
    <row r="9" customFormat="false" ht="21.75" hidden="false" customHeight="true" outlineLevel="0" collapsed="false">
      <c r="B9" s="4" t="s">
        <v>5</v>
      </c>
    </row>
    <row r="10" customFormat="false" ht="30" hidden="false" customHeight="true" outlineLevel="0" collapsed="false">
      <c r="B10" s="5" t="s">
        <v>6</v>
      </c>
    </row>
    <row r="11" customFormat="false" ht="30" hidden="false" customHeight="true" outlineLevel="0" collapsed="false">
      <c r="B11" s="5" t="s">
        <v>7</v>
      </c>
    </row>
    <row r="12" customFormat="false" ht="30" hidden="false" customHeight="true" outlineLevel="0" collapsed="false">
      <c r="B12" s="5" t="s">
        <v>8</v>
      </c>
    </row>
    <row r="13" customFormat="false" ht="30" hidden="false" customHeight="true" outlineLevel="0" collapsed="false">
      <c r="B13" s="5" t="s">
        <v>9</v>
      </c>
    </row>
    <row r="14" customFormat="false" ht="15" hidden="false" customHeight="false" outlineLevel="0" collapsed="false">
      <c r="B14" s="3"/>
    </row>
    <row r="15" customFormat="false" ht="21.75" hidden="false" customHeight="true" outlineLevel="0" collapsed="false">
      <c r="B15" s="4" t="s">
        <v>10</v>
      </c>
    </row>
    <row r="16" customFormat="false" ht="30" hidden="false" customHeight="true" outlineLevel="0" collapsed="false">
      <c r="B16" s="5" t="s">
        <v>11</v>
      </c>
    </row>
    <row r="17" customFormat="false" ht="30" hidden="false" customHeight="true" outlineLevel="0" collapsed="false">
      <c r="B17" s="5" t="s">
        <v>12</v>
      </c>
    </row>
    <row r="18" customFormat="false" ht="30" hidden="false" customHeight="true" outlineLevel="0" collapsed="false">
      <c r="B18" s="5" t="s">
        <v>13</v>
      </c>
    </row>
    <row r="19" customFormat="false" ht="30" hidden="false" customHeight="true" outlineLevel="0" collapsed="false">
      <c r="B19" s="5" t="s">
        <v>14</v>
      </c>
    </row>
    <row r="20" customFormat="false" ht="30" hidden="false" customHeight="true" outlineLevel="0" collapsed="false">
      <c r="B20" s="5" t="s">
        <v>15</v>
      </c>
    </row>
    <row r="21" customFormat="false" ht="15" hidden="false" customHeight="false" outlineLevel="0" collapsed="false">
      <c r="B21" s="3"/>
    </row>
    <row r="22" customFormat="false" ht="21.75" hidden="false" customHeight="true" outlineLevel="0" collapsed="false">
      <c r="B22" s="4" t="s">
        <v>16</v>
      </c>
    </row>
    <row r="23" customFormat="false" ht="30" hidden="false" customHeight="true" outlineLevel="0" collapsed="false">
      <c r="B23" s="5" t="s">
        <v>17</v>
      </c>
    </row>
    <row r="24" customFormat="false" ht="30" hidden="false" customHeight="true" outlineLevel="0" collapsed="false">
      <c r="B24" s="5" t="s">
        <v>18</v>
      </c>
    </row>
    <row r="25" customFormat="false" ht="30" hidden="false" customHeight="true" outlineLevel="0" collapsed="false">
      <c r="B25" s="5" t="s">
        <v>19</v>
      </c>
    </row>
    <row r="26" customFormat="false" ht="15" hidden="false" customHeight="false" outlineLevel="0" collapsed="false">
      <c r="B26" s="3"/>
    </row>
    <row r="27" customFormat="false" ht="21.75" hidden="false" customHeight="true" outlineLevel="0" collapsed="false">
      <c r="B27" s="4" t="s">
        <v>20</v>
      </c>
    </row>
    <row r="28" customFormat="false" ht="30" hidden="false" customHeight="true" outlineLevel="0" collapsed="false">
      <c r="B28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18.55" hidden="false" customHeight="false" outlineLevel="0" collapsed="false">
      <c r="A1" s="6" t="s">
        <v>22</v>
      </c>
    </row>
    <row r="2" customFormat="false" ht="19.5" hidden="false" customHeight="true" outlineLevel="0" collapsed="false">
      <c r="A2" s="7" t="s">
        <v>23</v>
      </c>
      <c r="B2" s="7"/>
      <c r="C2" s="7"/>
      <c r="D2" s="7"/>
    </row>
    <row r="3" customFormat="false" ht="15" hidden="false" customHeight="false" outlineLevel="0" collapsed="false">
      <c r="A3" s="8" t="s">
        <v>24</v>
      </c>
      <c r="B3" s="9" t="n">
        <v>120</v>
      </c>
      <c r="C3" s="10" t="s">
        <v>25</v>
      </c>
      <c r="D3" s="11" t="s">
        <v>26</v>
      </c>
    </row>
    <row r="4" customFormat="false" ht="15" hidden="false" customHeight="false" outlineLevel="0" collapsed="false">
      <c r="A4" s="8" t="s">
        <v>27</v>
      </c>
      <c r="B4" s="9" t="n">
        <v>30</v>
      </c>
      <c r="C4" s="10" t="s">
        <v>25</v>
      </c>
      <c r="D4" s="11" t="s">
        <v>28</v>
      </c>
    </row>
    <row r="5" customFormat="false" ht="15" hidden="false" customHeight="false" outlineLevel="0" collapsed="false">
      <c r="A5" s="8" t="s">
        <v>29</v>
      </c>
      <c r="B5" s="9" t="n">
        <v>23</v>
      </c>
      <c r="C5" s="10" t="s">
        <v>30</v>
      </c>
      <c r="D5" s="11" t="s">
        <v>31</v>
      </c>
    </row>
    <row r="6" customFormat="false" ht="15" hidden="false" customHeight="false" outlineLevel="0" collapsed="false">
      <c r="A6" s="8" t="s">
        <v>32</v>
      </c>
      <c r="B6" s="9" t="n">
        <v>4</v>
      </c>
      <c r="C6" s="10" t="s">
        <v>30</v>
      </c>
      <c r="D6" s="11" t="s">
        <v>33</v>
      </c>
    </row>
    <row r="7" customFormat="false" ht="15" hidden="false" customHeight="false" outlineLevel="0" collapsed="false">
      <c r="A7" s="8" t="s">
        <v>34</v>
      </c>
      <c r="B7" s="9" t="n">
        <v>100</v>
      </c>
      <c r="C7" s="10" t="s">
        <v>30</v>
      </c>
      <c r="D7" s="11" t="s">
        <v>35</v>
      </c>
    </row>
    <row r="8" customFormat="false" ht="15" hidden="false" customHeight="false" outlineLevel="0" collapsed="false">
      <c r="A8" s="8" t="s">
        <v>36</v>
      </c>
      <c r="B8" s="9" t="n">
        <v>0.08</v>
      </c>
      <c r="C8" s="10" t="s">
        <v>37</v>
      </c>
      <c r="D8" s="11" t="s">
        <v>38</v>
      </c>
    </row>
    <row r="9" customFormat="false" ht="15" hidden="false" customHeight="false" outlineLevel="0" collapsed="false">
      <c r="A9" s="8" t="s">
        <v>39</v>
      </c>
      <c r="B9" s="9" t="n">
        <v>0.03</v>
      </c>
      <c r="C9" s="10" t="s">
        <v>37</v>
      </c>
      <c r="D9" s="11" t="s">
        <v>40</v>
      </c>
    </row>
    <row r="10" customFormat="false" ht="15" hidden="false" customHeight="false" outlineLevel="0" collapsed="false">
      <c r="A10" s="8" t="s">
        <v>41</v>
      </c>
      <c r="B10" s="9" t="n">
        <v>2</v>
      </c>
      <c r="C10" s="10" t="s">
        <v>42</v>
      </c>
      <c r="D10" s="11" t="s">
        <v>43</v>
      </c>
    </row>
    <row r="11" customFormat="false" ht="19.5" hidden="false" customHeight="true" outlineLevel="0" collapsed="false">
      <c r="A11" s="7" t="s">
        <v>44</v>
      </c>
      <c r="B11" s="7"/>
      <c r="C11" s="7"/>
      <c r="D11" s="7"/>
    </row>
    <row r="12" customFormat="false" ht="15" hidden="false" customHeight="false" outlineLevel="0" collapsed="false">
      <c r="A12" s="8" t="s">
        <v>45</v>
      </c>
      <c r="B12" s="9" t="n">
        <v>1000</v>
      </c>
      <c r="C12" s="10" t="s">
        <v>46</v>
      </c>
      <c r="D12" s="11" t="s">
        <v>47</v>
      </c>
    </row>
    <row r="13" customFormat="false" ht="15" hidden="false" customHeight="false" outlineLevel="0" collapsed="false">
      <c r="A13" s="8" t="s">
        <v>48</v>
      </c>
      <c r="B13" s="9" t="n">
        <v>2</v>
      </c>
      <c r="C13" s="10" t="s">
        <v>42</v>
      </c>
      <c r="D13" s="11" t="s">
        <v>49</v>
      </c>
    </row>
    <row r="14" customFormat="false" ht="15" hidden="false" customHeight="false" outlineLevel="0" collapsed="false">
      <c r="A14" s="8" t="s">
        <v>50</v>
      </c>
      <c r="B14" s="9" t="n">
        <v>2</v>
      </c>
      <c r="C14" s="10" t="s">
        <v>42</v>
      </c>
      <c r="D14" s="11" t="s">
        <v>51</v>
      </c>
    </row>
    <row r="15" customFormat="false" ht="15" hidden="false" customHeight="false" outlineLevel="0" collapsed="false">
      <c r="A15" s="8" t="s">
        <v>52</v>
      </c>
      <c r="B15" s="9" t="n">
        <v>86400</v>
      </c>
      <c r="C15" s="10" t="s">
        <v>53</v>
      </c>
      <c r="D15" s="11" t="s">
        <v>54</v>
      </c>
    </row>
    <row r="17" customFormat="false" ht="15" hidden="false" customHeight="false" outlineLevel="0" collapsed="false">
      <c r="A17" s="1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66"/>
  </cols>
  <sheetData>
    <row r="1" customFormat="false" ht="18.55" hidden="false" customHeight="false" outlineLevel="0" collapsed="false">
      <c r="A1" s="6" t="s">
        <v>56</v>
      </c>
    </row>
    <row r="2" customFormat="false" ht="15" hidden="false" customHeight="false" outlineLevel="0" collapsed="false">
      <c r="A2" s="10" t="s">
        <v>57</v>
      </c>
    </row>
    <row r="4" customFormat="false" ht="19.5" hidden="false" customHeight="true" outlineLevel="0" collapsed="false">
      <c r="A4" s="7" t="s">
        <v>58</v>
      </c>
      <c r="B4" s="7"/>
      <c r="C4" s="7"/>
      <c r="D4" s="7"/>
    </row>
    <row r="5" customFormat="false" ht="15" hidden="false" customHeight="false" outlineLevel="0" collapsed="false">
      <c r="A5" s="12" t="s">
        <v>59</v>
      </c>
      <c r="B5" s="13" t="n">
        <v>5000000</v>
      </c>
      <c r="C5" s="10"/>
      <c r="D5" s="11"/>
    </row>
    <row r="6" customFormat="false" ht="15" hidden="false" customHeight="false" outlineLevel="0" collapsed="false">
      <c r="A6" s="12" t="s">
        <v>60</v>
      </c>
      <c r="B6" s="13" t="n">
        <v>500000</v>
      </c>
      <c r="C6" s="10"/>
      <c r="D6" s="11"/>
    </row>
    <row r="7" customFormat="false" ht="15" hidden="false" customHeight="false" outlineLevel="0" collapsed="false">
      <c r="A7" s="12" t="s">
        <v>61</v>
      </c>
      <c r="B7" s="13" t="n">
        <v>3</v>
      </c>
      <c r="C7" s="10" t="s">
        <v>42</v>
      </c>
      <c r="D7" s="11" t="s">
        <v>62</v>
      </c>
    </row>
    <row r="8" customFormat="false" ht="15" hidden="false" customHeight="false" outlineLevel="0" collapsed="false">
      <c r="A8" s="12" t="s">
        <v>63</v>
      </c>
      <c r="B8" s="13" t="n">
        <f aca="false">$B$5*2/7</f>
        <v>1428571.42857143</v>
      </c>
      <c r="C8" s="10"/>
      <c r="D8" s="11" t="s">
        <v>64</v>
      </c>
    </row>
    <row r="10" customFormat="false" ht="19.5" hidden="false" customHeight="true" outlineLevel="0" collapsed="false">
      <c r="A10" s="7" t="s">
        <v>65</v>
      </c>
      <c r="B10" s="7"/>
      <c r="C10" s="7"/>
      <c r="D10" s="7"/>
    </row>
    <row r="11" customFormat="false" ht="30" hidden="false" customHeight="true" outlineLevel="0" collapsed="false">
      <c r="A11" s="14" t="s">
        <v>66</v>
      </c>
      <c r="B11" s="14"/>
      <c r="C11" s="14"/>
      <c r="D11" s="14"/>
    </row>
    <row r="12" customFormat="false" ht="15" hidden="false" customHeight="false" outlineLevel="0" collapsed="false">
      <c r="A12" s="12" t="s">
        <v>67</v>
      </c>
      <c r="B12" s="15" t="n">
        <v>8</v>
      </c>
      <c r="C12" s="10"/>
      <c r="D12" s="11" t="s">
        <v>68</v>
      </c>
    </row>
    <row r="13" customFormat="false" ht="15" hidden="false" customHeight="false" outlineLevel="0" collapsed="false">
      <c r="A13" s="12" t="s">
        <v>69</v>
      </c>
      <c r="B13" s="15" t="n">
        <v>40</v>
      </c>
      <c r="C13" s="10"/>
      <c r="D13" s="11" t="s">
        <v>70</v>
      </c>
    </row>
    <row r="14" customFormat="false" ht="15" hidden="false" customHeight="false" outlineLevel="0" collapsed="false">
      <c r="A14" s="12" t="s">
        <v>71</v>
      </c>
      <c r="B14" s="15" t="n">
        <v>15</v>
      </c>
      <c r="C14" s="10" t="s">
        <v>72</v>
      </c>
      <c r="D14" s="11"/>
    </row>
    <row r="15" customFormat="false" ht="22" hidden="false" customHeight="false" outlineLevel="0" collapsed="false">
      <c r="A15" s="12" t="s">
        <v>73</v>
      </c>
      <c r="B15" s="15" t="n">
        <v>2</v>
      </c>
      <c r="C15" s="10" t="s">
        <v>53</v>
      </c>
      <c r="D15" s="11" t="s">
        <v>74</v>
      </c>
    </row>
    <row r="16" customFormat="false" ht="15" hidden="false" customHeight="false" outlineLevel="0" collapsed="false">
      <c r="A16" s="12" t="s">
        <v>75</v>
      </c>
      <c r="B16" s="15" t="n">
        <v>8000</v>
      </c>
      <c r="C16" s="10"/>
      <c r="D16" s="11"/>
    </row>
    <row r="17" customFormat="false" ht="15" hidden="false" customHeight="false" outlineLevel="0" collapsed="false">
      <c r="A17" s="12" t="s">
        <v>76</v>
      </c>
      <c r="B17" s="15" t="n">
        <v>5000</v>
      </c>
      <c r="C17" s="10"/>
      <c r="D17" s="11"/>
    </row>
    <row r="18" customFormat="false" ht="15" hidden="false" customHeight="false" outlineLevel="0" collapsed="false">
      <c r="A18" s="12" t="s">
        <v>77</v>
      </c>
      <c r="B18" s="15" t="n">
        <v>5</v>
      </c>
      <c r="C18" s="10" t="s">
        <v>53</v>
      </c>
      <c r="D18" s="11"/>
    </row>
    <row r="19" customFormat="false" ht="15" hidden="false" customHeight="false" outlineLevel="0" collapsed="false">
      <c r="A19" s="12" t="s">
        <v>78</v>
      </c>
      <c r="B19" s="15" t="n">
        <v>200</v>
      </c>
      <c r="C19" s="10" t="s">
        <v>79</v>
      </c>
      <c r="D19" s="11" t="s">
        <v>80</v>
      </c>
    </row>
    <row r="20" customFormat="false" ht="15" hidden="false" customHeight="false" outlineLevel="0" collapsed="false">
      <c r="A20" s="12" t="s">
        <v>81</v>
      </c>
      <c r="B20" s="15" t="n">
        <v>3</v>
      </c>
      <c r="C20" s="10" t="s">
        <v>82</v>
      </c>
      <c r="D20" s="11" t="s">
        <v>83</v>
      </c>
    </row>
    <row r="21" customFormat="false" ht="15" hidden="false" customHeight="false" outlineLevel="0" collapsed="false">
      <c r="A21" s="12" t="s">
        <v>84</v>
      </c>
      <c r="B21" s="15" t="n">
        <v>1</v>
      </c>
      <c r="C21" s="10" t="s">
        <v>82</v>
      </c>
      <c r="D21" s="11" t="s">
        <v>85</v>
      </c>
    </row>
    <row r="22" customFormat="false" ht="15" hidden="false" customHeight="false" outlineLevel="0" collapsed="false">
      <c r="A22" s="12" t="s">
        <v>86</v>
      </c>
      <c r="B22" s="15" t="n">
        <v>30</v>
      </c>
      <c r="C22" s="10" t="s">
        <v>87</v>
      </c>
      <c r="D22" s="11" t="s">
        <v>88</v>
      </c>
    </row>
    <row r="23" customFormat="false" ht="15" hidden="false" customHeight="false" outlineLevel="0" collapsed="false">
      <c r="A23" s="12" t="s">
        <v>89</v>
      </c>
      <c r="B23" s="15" t="n">
        <v>3</v>
      </c>
      <c r="C23" s="10" t="s">
        <v>90</v>
      </c>
      <c r="D23" s="11"/>
    </row>
    <row r="25" customFormat="false" ht="19.5" hidden="false" customHeight="true" outlineLevel="0" collapsed="false">
      <c r="A25" s="7" t="s">
        <v>91</v>
      </c>
      <c r="B25" s="7"/>
      <c r="C25" s="7"/>
      <c r="D25" s="7"/>
    </row>
    <row r="26" customFormat="false" ht="15" hidden="false" customHeight="false" outlineLevel="0" collapsed="false">
      <c r="A26" s="12" t="s">
        <v>92</v>
      </c>
      <c r="B26" s="16" t="n">
        <f aca="false">$B$16/$B$18</f>
        <v>1600</v>
      </c>
      <c r="C26" s="10" t="s">
        <v>46</v>
      </c>
      <c r="D26" s="11"/>
    </row>
    <row r="27" customFormat="false" ht="15" hidden="false" customHeight="false" outlineLevel="0" collapsed="false">
      <c r="A27" s="12" t="s">
        <v>93</v>
      </c>
      <c r="B27" s="16" t="n">
        <f aca="false">$B$8*$B$13/'Цены и константы'!$B$15*$B$7</f>
        <v>1984.12698412698</v>
      </c>
      <c r="C27" s="10" t="s">
        <v>46</v>
      </c>
      <c r="D27" s="11"/>
    </row>
    <row r="28" customFormat="false" ht="15" hidden="false" customHeight="false" outlineLevel="0" collapsed="false">
      <c r="A28" s="12" t="s">
        <v>94</v>
      </c>
      <c r="B28" s="16" t="n">
        <f aca="false">$B$8/'Цены и константы'!$B$15*$B$7</f>
        <v>49.6031746031746</v>
      </c>
      <c r="C28" s="10" t="s">
        <v>46</v>
      </c>
      <c r="D28" s="11"/>
    </row>
    <row r="29" customFormat="false" ht="15" hidden="false" customHeight="false" outlineLevel="0" collapsed="false">
      <c r="A29" s="17" t="s">
        <v>95</v>
      </c>
      <c r="B29" s="18" t="n">
        <f aca="false">$B$26+$B$27+$B$28</f>
        <v>3633.73015873016</v>
      </c>
      <c r="C29" s="10" t="s">
        <v>46</v>
      </c>
      <c r="D29" s="11"/>
    </row>
    <row r="30" customFormat="false" ht="15" hidden="false" customHeight="false" outlineLevel="0" collapsed="false">
      <c r="A30" s="12" t="s">
        <v>96</v>
      </c>
      <c r="B30" s="16" t="n">
        <f aca="false">$B$14*60/$B$15</f>
        <v>450</v>
      </c>
      <c r="C30" s="10"/>
      <c r="D30" s="11"/>
    </row>
    <row r="31" customFormat="false" ht="15" hidden="false" customHeight="false" outlineLevel="0" collapsed="false">
      <c r="A31" s="12" t="s">
        <v>97</v>
      </c>
      <c r="B31" s="16" t="n">
        <f aca="false">$B$8*$B$30</f>
        <v>642857142.857143</v>
      </c>
      <c r="C31" s="10"/>
      <c r="D31" s="11"/>
    </row>
    <row r="32" customFormat="false" ht="15" hidden="false" customHeight="false" outlineLevel="0" collapsed="false">
      <c r="A32" s="12" t="s">
        <v>98</v>
      </c>
      <c r="B32" s="16" t="n">
        <f aca="false">$B$31/'Цены и константы'!$B$15*$B$7</f>
        <v>22321.4285714286</v>
      </c>
      <c r="C32" s="10" t="s">
        <v>46</v>
      </c>
      <c r="D32" s="11"/>
    </row>
    <row r="33" customFormat="false" ht="15" hidden="false" customHeight="false" outlineLevel="0" collapsed="false">
      <c r="A33" s="12" t="s">
        <v>99</v>
      </c>
      <c r="B33" s="16" t="n">
        <f aca="false">$B$8*$B$12</f>
        <v>11428571.4285714</v>
      </c>
      <c r="C33" s="10"/>
      <c r="D33" s="11"/>
    </row>
    <row r="34" customFormat="false" ht="15" hidden="false" customHeight="false" outlineLevel="0" collapsed="false">
      <c r="A34" s="12" t="s">
        <v>100</v>
      </c>
      <c r="B34" s="16" t="n">
        <f aca="false">$B$33/'Цены и константы'!$B$15*$B$7</f>
        <v>396.825396825397</v>
      </c>
      <c r="C34" s="10" t="s">
        <v>46</v>
      </c>
      <c r="D34" s="11"/>
    </row>
    <row r="35" customFormat="false" ht="15" hidden="false" customHeight="false" outlineLevel="0" collapsed="false">
      <c r="A35" s="17" t="s">
        <v>101</v>
      </c>
      <c r="B35" s="18" t="n">
        <f aca="false">$B$32+$B$34</f>
        <v>22718.253968254</v>
      </c>
      <c r="C35" s="10" t="s">
        <v>46</v>
      </c>
      <c r="D35" s="11"/>
    </row>
    <row r="36" customFormat="false" ht="15" hidden="false" customHeight="false" outlineLevel="0" collapsed="false">
      <c r="A36" s="17" t="s">
        <v>102</v>
      </c>
      <c r="B36" s="19" t="n">
        <f aca="false">$B$35/($B$35+$B$29)</f>
        <v>0.86210791031066</v>
      </c>
      <c r="C36" s="10"/>
      <c r="D36" s="11" t="s">
        <v>103</v>
      </c>
    </row>
    <row r="38" customFormat="false" ht="19.5" hidden="false" customHeight="true" outlineLevel="0" collapsed="false">
      <c r="A38" s="7" t="s">
        <v>104</v>
      </c>
      <c r="B38" s="7"/>
      <c r="C38" s="7"/>
      <c r="D38" s="7"/>
    </row>
    <row r="39" customFormat="false" ht="15" hidden="false" customHeight="false" outlineLevel="0" collapsed="false">
      <c r="A39" s="12" t="s">
        <v>105</v>
      </c>
      <c r="B39" s="16" t="n">
        <f aca="false">$B$17/$B$18*'Цены и константы'!$B$15*$B$19/1000000000</f>
        <v>17.28</v>
      </c>
      <c r="C39" s="10" t="s">
        <v>106</v>
      </c>
      <c r="D39" s="11"/>
    </row>
    <row r="40" customFormat="false" ht="15" hidden="false" customHeight="false" outlineLevel="0" collapsed="false">
      <c r="A40" s="12" t="s">
        <v>107</v>
      </c>
      <c r="B40" s="16" t="n">
        <f aca="false">$B$8*$B$20/1000000</f>
        <v>4.28571428571429</v>
      </c>
      <c r="C40" s="10" t="s">
        <v>106</v>
      </c>
      <c r="D40" s="11"/>
    </row>
    <row r="41" customFormat="false" ht="15" hidden="false" customHeight="false" outlineLevel="0" collapsed="false">
      <c r="A41" s="12" t="s">
        <v>108</v>
      </c>
      <c r="B41" s="16" t="n">
        <f aca="false">($B$39+$B$40)*'Цены и константы'!$B$14</f>
        <v>43.1314285714286</v>
      </c>
      <c r="C41" s="10" t="s">
        <v>106</v>
      </c>
      <c r="D41" s="11" t="s">
        <v>109</v>
      </c>
    </row>
    <row r="42" customFormat="false" ht="15" hidden="false" customHeight="false" outlineLevel="0" collapsed="false">
      <c r="A42" s="17" t="s">
        <v>110</v>
      </c>
      <c r="B42" s="18" t="n">
        <f aca="false">$B$41*365/1000</f>
        <v>15.7429714285714</v>
      </c>
      <c r="C42" s="10" t="s">
        <v>111</v>
      </c>
      <c r="D42" s="11"/>
    </row>
    <row r="43" customFormat="false" ht="15" hidden="false" customHeight="false" outlineLevel="0" collapsed="false">
      <c r="A43" s="17" t="s">
        <v>112</v>
      </c>
      <c r="B43" s="18" t="n">
        <f aca="false">$B$41*365*$B$23/1000</f>
        <v>47.2289142857143</v>
      </c>
      <c r="C43" s="10" t="s">
        <v>111</v>
      </c>
      <c r="D43" s="11"/>
    </row>
    <row r="44" customFormat="false" ht="15" hidden="false" customHeight="false" outlineLevel="0" collapsed="false">
      <c r="A44" s="12" t="s">
        <v>113</v>
      </c>
      <c r="B44" s="16" t="n">
        <f aca="false">$B$41*$B$22/1000</f>
        <v>1.29394285714286</v>
      </c>
      <c r="C44" s="10" t="s">
        <v>111</v>
      </c>
      <c r="D44" s="11"/>
    </row>
    <row r="45" customFormat="false" ht="15" hidden="false" customHeight="false" outlineLevel="0" collapsed="false">
      <c r="A45" s="12" t="s">
        <v>114</v>
      </c>
      <c r="B45" s="16" t="n">
        <f aca="false">$B$43-$B$44</f>
        <v>45.9349714285714</v>
      </c>
      <c r="C45" s="10" t="s">
        <v>111</v>
      </c>
      <c r="D45" s="11"/>
    </row>
    <row r="47" customFormat="false" ht="19.5" hidden="false" customHeight="true" outlineLevel="0" collapsed="false">
      <c r="A47" s="7" t="s">
        <v>115</v>
      </c>
      <c r="B47" s="7"/>
      <c r="C47" s="7"/>
      <c r="D47" s="7"/>
    </row>
    <row r="48" customFormat="false" ht="15" hidden="false" customHeight="false" outlineLevel="0" collapsed="false">
      <c r="A48" s="12" t="s">
        <v>116</v>
      </c>
      <c r="B48" s="16" t="n">
        <f aca="false">($B$31+$B$33)*$B$21/1000000</f>
        <v>654.285714285714</v>
      </c>
      <c r="C48" s="10" t="s">
        <v>106</v>
      </c>
      <c r="D48" s="11"/>
    </row>
    <row r="49" customFormat="false" ht="15" hidden="false" customHeight="false" outlineLevel="0" collapsed="false">
      <c r="A49" s="17" t="s">
        <v>117</v>
      </c>
      <c r="B49" s="18" t="n">
        <f aca="false">$B$48*30</f>
        <v>19628.5714285714</v>
      </c>
      <c r="C49" s="10" t="s">
        <v>106</v>
      </c>
      <c r="D49" s="11"/>
    </row>
    <row r="51" customFormat="false" ht="19.5" hidden="false" customHeight="true" outlineLevel="0" collapsed="false">
      <c r="A51" s="7" t="s">
        <v>118</v>
      </c>
      <c r="B51" s="7"/>
      <c r="C51" s="7"/>
      <c r="D51" s="7"/>
    </row>
    <row r="52" customFormat="false" ht="15" hidden="false" customHeight="false" outlineLevel="0" collapsed="false">
      <c r="A52" s="17" t="s">
        <v>119</v>
      </c>
      <c r="B52" s="18" t="n">
        <f aca="false">ROUNDUP(($B$29+$B$35)/'Цены и константы'!$B$12,0)*'Цены и константы'!$B$13</f>
        <v>54</v>
      </c>
      <c r="C52" s="10" t="s">
        <v>120</v>
      </c>
      <c r="D52" s="11" t="s">
        <v>121</v>
      </c>
    </row>
    <row r="53" customFormat="false" ht="15" hidden="false" customHeight="false" outlineLevel="0" collapsed="false">
      <c r="A53" s="12" t="s">
        <v>122</v>
      </c>
      <c r="B53" s="15" t="n">
        <v>3</v>
      </c>
      <c r="C53" s="10" t="s">
        <v>120</v>
      </c>
      <c r="D53" s="11" t="s">
        <v>123</v>
      </c>
    </row>
    <row r="54" customFormat="false" ht="15" hidden="false" customHeight="false" outlineLevel="0" collapsed="false">
      <c r="A54" s="12" t="s">
        <v>124</v>
      </c>
      <c r="B54" s="15" t="n">
        <v>8</v>
      </c>
      <c r="C54" s="10" t="s">
        <v>120</v>
      </c>
      <c r="D54" s="11"/>
    </row>
    <row r="55" customFormat="false" ht="15" hidden="false" customHeight="false" outlineLevel="0" collapsed="false">
      <c r="A55" s="12" t="s">
        <v>125</v>
      </c>
      <c r="B55" s="15" t="n">
        <v>6</v>
      </c>
      <c r="C55" s="10" t="s">
        <v>111</v>
      </c>
      <c r="D55" s="11" t="s">
        <v>126</v>
      </c>
    </row>
    <row r="56" customFormat="false" ht="15" hidden="false" customHeight="false" outlineLevel="0" collapsed="false">
      <c r="A56" s="12" t="s">
        <v>127</v>
      </c>
      <c r="B56" s="20" t="n">
        <v>300</v>
      </c>
      <c r="C56" s="10" t="s">
        <v>128</v>
      </c>
      <c r="D56" s="11" t="s">
        <v>129</v>
      </c>
    </row>
    <row r="58" customFormat="false" ht="19.5" hidden="false" customHeight="true" outlineLevel="0" collapsed="false">
      <c r="A58" s="7" t="s">
        <v>130</v>
      </c>
      <c r="B58" s="7"/>
      <c r="C58" s="7"/>
      <c r="D58" s="7"/>
    </row>
    <row r="59" customFormat="false" ht="15" hidden="false" customHeight="false" outlineLevel="0" collapsed="false">
      <c r="A59" s="12" t="s">
        <v>131</v>
      </c>
      <c r="B59" s="21" t="n">
        <f aca="false">$B$52*'Цены и константы'!$B$3</f>
        <v>6480</v>
      </c>
      <c r="C59" s="10" t="s">
        <v>128</v>
      </c>
      <c r="D59" s="11"/>
    </row>
    <row r="60" customFormat="false" ht="15" hidden="false" customHeight="false" outlineLevel="0" collapsed="false">
      <c r="A60" s="12" t="s">
        <v>132</v>
      </c>
      <c r="B60" s="21" t="n">
        <f aca="false">($B$53*$B$54*'Цены и константы'!$B$4+$B$55*'Цены и константы'!$B$7)*'Цены и константы'!$B$10</f>
        <v>2640</v>
      </c>
      <c r="C60" s="10" t="s">
        <v>128</v>
      </c>
      <c r="D60" s="11"/>
    </row>
    <row r="61" customFormat="false" ht="15" hidden="false" customHeight="false" outlineLevel="0" collapsed="false">
      <c r="A61" s="12" t="s">
        <v>133</v>
      </c>
      <c r="B61" s="21" t="n">
        <f aca="false">$B$60+$B$56</f>
        <v>2940</v>
      </c>
      <c r="C61" s="10" t="s">
        <v>128</v>
      </c>
      <c r="D61" s="11"/>
    </row>
    <row r="62" customFormat="false" ht="15" hidden="false" customHeight="false" outlineLevel="0" collapsed="false">
      <c r="A62" s="12" t="s">
        <v>134</v>
      </c>
      <c r="B62" s="21" t="n">
        <f aca="false">$B$44*'Цены и константы'!$B$5+$B$45*'Цены и константы'!$B$6</f>
        <v>213.500571428571</v>
      </c>
      <c r="C62" s="10" t="s">
        <v>128</v>
      </c>
      <c r="D62" s="11"/>
    </row>
    <row r="63" customFormat="false" ht="15" hidden="false" customHeight="false" outlineLevel="0" collapsed="false">
      <c r="A63" s="12" t="s">
        <v>135</v>
      </c>
      <c r="B63" s="21" t="n">
        <f aca="false">$B$49*'Цены и константы'!$B$8</f>
        <v>1570.28571428571</v>
      </c>
      <c r="C63" s="10" t="s">
        <v>128</v>
      </c>
      <c r="D63" s="11"/>
    </row>
    <row r="64" customFormat="false" ht="15" hidden="false" customHeight="false" outlineLevel="0" collapsed="false">
      <c r="A64" s="17" t="s">
        <v>136</v>
      </c>
      <c r="B64" s="22" t="n">
        <f aca="false">$B$59+$B$61+$B$62+$B$63</f>
        <v>11203.7862857143</v>
      </c>
      <c r="C64" s="10" t="s">
        <v>128</v>
      </c>
      <c r="D64" s="11"/>
    </row>
    <row r="65" customFormat="false" ht="15" hidden="false" customHeight="false" outlineLevel="0" collapsed="false">
      <c r="A65" s="12" t="s">
        <v>137</v>
      </c>
      <c r="B65" s="23" t="n">
        <f aca="false">$B$59/$B$64</f>
        <v>0.578375902105747</v>
      </c>
      <c r="C65" s="10"/>
      <c r="D65" s="11"/>
    </row>
    <row r="66" customFormat="false" ht="15" hidden="false" customHeight="false" outlineLevel="0" collapsed="false">
      <c r="A66" s="12" t="s">
        <v>138</v>
      </c>
      <c r="B66" s="23" t="n">
        <f aca="false">$B$61/$B$64</f>
        <v>0.262411288918348</v>
      </c>
      <c r="C66" s="10"/>
      <c r="D66" s="11"/>
    </row>
    <row r="67" customFormat="false" ht="15" hidden="false" customHeight="false" outlineLevel="0" collapsed="false">
      <c r="A67" s="12" t="s">
        <v>139</v>
      </c>
      <c r="B67" s="23" t="n">
        <f aca="false">$B$62/$B$64</f>
        <v>0.0190561088889032</v>
      </c>
      <c r="C67" s="10"/>
      <c r="D67" s="11"/>
    </row>
    <row r="68" customFormat="false" ht="15" hidden="false" customHeight="false" outlineLevel="0" collapsed="false">
      <c r="A68" s="12" t="s">
        <v>140</v>
      </c>
      <c r="B68" s="23" t="n">
        <f aca="false">$B$63/$B$64</f>
        <v>0.140156700087001</v>
      </c>
      <c r="C68" s="10"/>
      <c r="D68" s="11"/>
    </row>
    <row r="69" customFormat="false" ht="15" hidden="false" customHeight="false" outlineLevel="0" collapsed="false">
      <c r="A69" s="17" t="s">
        <v>141</v>
      </c>
      <c r="B69" s="24" t="n">
        <f aca="false">$B$64/$B$6</f>
        <v>0.0224075725714286</v>
      </c>
      <c r="C69" s="10" t="s">
        <v>128</v>
      </c>
      <c r="D69" s="11" t="s">
        <v>142</v>
      </c>
    </row>
    <row r="71" customFormat="false" ht="19.5" hidden="false" customHeight="true" outlineLevel="0" collapsed="false">
      <c r="A71" s="7" t="s">
        <v>143</v>
      </c>
      <c r="B71" s="7"/>
      <c r="C71" s="7"/>
      <c r="D71" s="7"/>
    </row>
    <row r="72" customFormat="false" ht="30" hidden="false" customHeight="true" outlineLevel="0" collapsed="false">
      <c r="A72" s="14" t="s">
        <v>144</v>
      </c>
      <c r="B72" s="14"/>
      <c r="C72" s="14"/>
      <c r="D72" s="14"/>
    </row>
    <row r="73" customFormat="false" ht="15" hidden="false" customHeight="false" outlineLevel="0" collapsed="false">
      <c r="A73" s="25" t="s">
        <v>145</v>
      </c>
      <c r="B73" s="25" t="s">
        <v>146</v>
      </c>
      <c r="C73" s="25" t="s">
        <v>147</v>
      </c>
      <c r="D73" s="25" t="s">
        <v>148</v>
      </c>
    </row>
    <row r="74" customFormat="false" ht="15" hidden="false" customHeight="false" outlineLevel="0" collapsed="false">
      <c r="A74" s="12"/>
      <c r="B74" s="20"/>
      <c r="C74" s="10" t="s">
        <v>128</v>
      </c>
      <c r="D74" s="11"/>
    </row>
    <row r="75" customFormat="false" ht="15" hidden="false" customHeight="false" outlineLevel="0" collapsed="false">
      <c r="A75" s="12"/>
      <c r="B75" s="20"/>
      <c r="C75" s="10" t="s">
        <v>128</v>
      </c>
      <c r="D75" s="11"/>
    </row>
    <row r="76" customFormat="false" ht="15" hidden="false" customHeight="false" outlineLevel="0" collapsed="false">
      <c r="A76" s="12"/>
      <c r="B76" s="20"/>
      <c r="C76" s="10" t="s">
        <v>128</v>
      </c>
      <c r="D76" s="11"/>
    </row>
    <row r="77" customFormat="false" ht="15" hidden="false" customHeight="false" outlineLevel="0" collapsed="false">
      <c r="A77" s="12"/>
      <c r="B77" s="20"/>
      <c r="C77" s="10" t="s">
        <v>128</v>
      </c>
      <c r="D77" s="11"/>
    </row>
    <row r="78" customFormat="false" ht="15" hidden="false" customHeight="false" outlineLevel="0" collapsed="false">
      <c r="A78" s="12"/>
      <c r="B78" s="20"/>
      <c r="C78" s="10" t="s">
        <v>128</v>
      </c>
      <c r="D78" s="11"/>
    </row>
  </sheetData>
  <mergeCells count="2">
    <mergeCell ref="A11:D11"/>
    <mergeCell ref="A72:D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66"/>
  </cols>
  <sheetData>
    <row r="1" customFormat="false" ht="18.55" hidden="false" customHeight="false" outlineLevel="0" collapsed="false">
      <c r="A1" s="6" t="s">
        <v>149</v>
      </c>
    </row>
    <row r="2" customFormat="false" ht="15" hidden="false" customHeight="false" outlineLevel="0" collapsed="false">
      <c r="A2" s="10" t="s">
        <v>150</v>
      </c>
    </row>
    <row r="4" customFormat="false" ht="19.5" hidden="false" customHeight="true" outlineLevel="0" collapsed="false">
      <c r="A4" s="7" t="s">
        <v>58</v>
      </c>
      <c r="B4" s="7"/>
      <c r="C4" s="7"/>
      <c r="D4" s="7"/>
    </row>
    <row r="5" customFormat="false" ht="15" hidden="false" customHeight="false" outlineLevel="0" collapsed="false">
      <c r="A5" s="12" t="s">
        <v>59</v>
      </c>
      <c r="B5" s="13" t="n">
        <v>10000000</v>
      </c>
      <c r="C5" s="10"/>
      <c r="D5" s="11"/>
    </row>
    <row r="6" customFormat="false" ht="15" hidden="false" customHeight="false" outlineLevel="0" collapsed="false">
      <c r="A6" s="12" t="s">
        <v>60</v>
      </c>
      <c r="B6" s="13" t="n">
        <v>1000000</v>
      </c>
      <c r="C6" s="10"/>
      <c r="D6" s="11"/>
    </row>
    <row r="7" customFormat="false" ht="15" hidden="false" customHeight="false" outlineLevel="0" collapsed="false">
      <c r="A7" s="12" t="s">
        <v>61</v>
      </c>
      <c r="B7" s="13" t="n">
        <v>4</v>
      </c>
      <c r="C7" s="10" t="s">
        <v>42</v>
      </c>
      <c r="D7" s="11" t="s">
        <v>151</v>
      </c>
    </row>
    <row r="8" customFormat="false" ht="15" hidden="false" customHeight="false" outlineLevel="0" collapsed="false">
      <c r="A8" s="12" t="s">
        <v>152</v>
      </c>
      <c r="B8" s="13" t="n">
        <f aca="false">$B$6*5</f>
        <v>5000000</v>
      </c>
      <c r="C8" s="10"/>
      <c r="D8" s="11" t="s">
        <v>153</v>
      </c>
    </row>
    <row r="10" customFormat="false" ht="19.5" hidden="false" customHeight="true" outlineLevel="0" collapsed="false">
      <c r="A10" s="7" t="s">
        <v>65</v>
      </c>
      <c r="B10" s="7"/>
      <c r="C10" s="7"/>
      <c r="D10" s="7"/>
    </row>
    <row r="11" customFormat="false" ht="30" hidden="false" customHeight="true" outlineLevel="0" collapsed="false">
      <c r="A11" s="14" t="s">
        <v>154</v>
      </c>
      <c r="B11" s="14"/>
      <c r="C11" s="14"/>
      <c r="D11" s="14"/>
    </row>
    <row r="12" customFormat="false" ht="15" hidden="false" customHeight="false" outlineLevel="0" collapsed="false">
      <c r="A12" s="12" t="s">
        <v>155</v>
      </c>
      <c r="B12" s="15" t="n">
        <v>6</v>
      </c>
      <c r="C12" s="10"/>
      <c r="D12" s="11" t="s">
        <v>156</v>
      </c>
    </row>
    <row r="13" customFormat="false" ht="15" hidden="false" customHeight="false" outlineLevel="0" collapsed="false">
      <c r="A13" s="12" t="s">
        <v>157</v>
      </c>
      <c r="B13" s="15" t="n">
        <v>3</v>
      </c>
      <c r="C13" s="10"/>
      <c r="D13" s="11" t="s">
        <v>158</v>
      </c>
    </row>
    <row r="14" customFormat="false" ht="15" hidden="false" customHeight="false" outlineLevel="0" collapsed="false">
      <c r="A14" s="12" t="s">
        <v>159</v>
      </c>
      <c r="B14" s="15" t="n">
        <v>1</v>
      </c>
      <c r="C14" s="10"/>
      <c r="D14" s="11"/>
    </row>
    <row r="15" customFormat="false" ht="15" hidden="false" customHeight="false" outlineLevel="0" collapsed="false">
      <c r="A15" s="12" t="s">
        <v>160</v>
      </c>
      <c r="B15" s="15" t="n">
        <v>3</v>
      </c>
      <c r="C15" s="10"/>
      <c r="D15" s="11" t="s">
        <v>161</v>
      </c>
    </row>
    <row r="16" customFormat="false" ht="15" hidden="false" customHeight="false" outlineLevel="0" collapsed="false">
      <c r="A16" s="12" t="s">
        <v>162</v>
      </c>
      <c r="B16" s="15" t="n">
        <v>1</v>
      </c>
      <c r="C16" s="10" t="s">
        <v>82</v>
      </c>
      <c r="D16" s="11"/>
    </row>
    <row r="17" customFormat="false" ht="15" hidden="false" customHeight="false" outlineLevel="0" collapsed="false">
      <c r="A17" s="12" t="s">
        <v>163</v>
      </c>
      <c r="B17" s="15" t="n">
        <v>3</v>
      </c>
      <c r="C17" s="10" t="s">
        <v>42</v>
      </c>
      <c r="D17" s="11" t="s">
        <v>164</v>
      </c>
    </row>
    <row r="18" customFormat="false" ht="15" hidden="false" customHeight="false" outlineLevel="0" collapsed="false">
      <c r="A18" s="12" t="s">
        <v>84</v>
      </c>
      <c r="B18" s="15" t="n">
        <v>2</v>
      </c>
      <c r="C18" s="10" t="s">
        <v>82</v>
      </c>
      <c r="D18" s="11"/>
    </row>
    <row r="19" customFormat="false" ht="15" hidden="false" customHeight="false" outlineLevel="0" collapsed="false">
      <c r="A19" s="12" t="s">
        <v>86</v>
      </c>
      <c r="B19" s="15" t="n">
        <v>90</v>
      </c>
      <c r="C19" s="10" t="s">
        <v>87</v>
      </c>
      <c r="D19" s="11" t="s">
        <v>165</v>
      </c>
    </row>
    <row r="20" customFormat="false" ht="15" hidden="false" customHeight="false" outlineLevel="0" collapsed="false">
      <c r="A20" s="12" t="s">
        <v>89</v>
      </c>
      <c r="B20" s="15" t="n">
        <v>5</v>
      </c>
      <c r="C20" s="10" t="s">
        <v>90</v>
      </c>
      <c r="D20" s="11" t="s">
        <v>166</v>
      </c>
    </row>
    <row r="22" customFormat="false" ht="19.5" hidden="false" customHeight="true" outlineLevel="0" collapsed="false">
      <c r="A22" s="7" t="s">
        <v>91</v>
      </c>
      <c r="B22" s="7"/>
      <c r="C22" s="7"/>
      <c r="D22" s="7"/>
    </row>
    <row r="23" customFormat="false" ht="15" hidden="false" customHeight="false" outlineLevel="0" collapsed="false">
      <c r="A23" s="12" t="s">
        <v>167</v>
      </c>
      <c r="B23" s="16" t="n">
        <f aca="false">$B$8/'Цены и константы'!$B$15*$B$7</f>
        <v>231.481481481482</v>
      </c>
      <c r="C23" s="10" t="s">
        <v>46</v>
      </c>
      <c r="D23" s="11"/>
    </row>
    <row r="24" customFormat="false" ht="15" hidden="false" customHeight="false" outlineLevel="0" collapsed="false">
      <c r="A24" s="12" t="s">
        <v>168</v>
      </c>
      <c r="B24" s="16" t="n">
        <f aca="false">$B$23*$B$17</f>
        <v>694.444444444445</v>
      </c>
      <c r="C24" s="10" t="s">
        <v>46</v>
      </c>
      <c r="D24" s="11"/>
    </row>
    <row r="25" customFormat="false" ht="15" hidden="false" customHeight="false" outlineLevel="0" collapsed="false">
      <c r="A25" s="17" t="s">
        <v>95</v>
      </c>
      <c r="B25" s="18" t="n">
        <f aca="false">$B$23+$B$24</f>
        <v>925.925925925926</v>
      </c>
      <c r="C25" s="10" t="s">
        <v>46</v>
      </c>
      <c r="D25" s="11"/>
    </row>
    <row r="26" customFormat="false" ht="15" hidden="false" customHeight="false" outlineLevel="0" collapsed="false">
      <c r="A26" s="12" t="s">
        <v>169</v>
      </c>
      <c r="B26" s="16" t="n">
        <f aca="false">$B$6*$B$13*$B$15</f>
        <v>9000000</v>
      </c>
      <c r="C26" s="10"/>
      <c r="D26" s="11"/>
    </row>
    <row r="27" customFormat="false" ht="15" hidden="false" customHeight="false" outlineLevel="0" collapsed="false">
      <c r="A27" s="12" t="s">
        <v>170</v>
      </c>
      <c r="B27" s="16" t="n">
        <f aca="false">$B$6*$B$14*$B$15</f>
        <v>3000000</v>
      </c>
      <c r="C27" s="10"/>
      <c r="D27" s="11"/>
    </row>
    <row r="28" customFormat="false" ht="15" hidden="false" customHeight="false" outlineLevel="0" collapsed="false">
      <c r="A28" s="12" t="s">
        <v>171</v>
      </c>
      <c r="B28" s="16" t="n">
        <f aca="false">$B$8*$B$12</f>
        <v>30000000</v>
      </c>
      <c r="C28" s="10"/>
      <c r="D28" s="11"/>
    </row>
    <row r="29" customFormat="false" ht="15" hidden="false" customHeight="false" outlineLevel="0" collapsed="false">
      <c r="A29" s="12" t="s">
        <v>172</v>
      </c>
      <c r="B29" s="16" t="n">
        <f aca="false">$B$26+$B$27+$B$28</f>
        <v>42000000</v>
      </c>
      <c r="C29" s="10"/>
      <c r="D29" s="11"/>
    </row>
    <row r="30" customFormat="false" ht="15" hidden="false" customHeight="false" outlineLevel="0" collapsed="false">
      <c r="A30" s="17" t="s">
        <v>101</v>
      </c>
      <c r="B30" s="18" t="n">
        <f aca="false">$B$29/'Цены и константы'!$B$15*$B$7</f>
        <v>1944.44444444444</v>
      </c>
      <c r="C30" s="10" t="s">
        <v>46</v>
      </c>
      <c r="D30" s="11"/>
    </row>
    <row r="31" customFormat="false" ht="15" hidden="false" customHeight="false" outlineLevel="0" collapsed="false">
      <c r="A31" s="17" t="s">
        <v>102</v>
      </c>
      <c r="B31" s="19" t="n">
        <f aca="false">$B$30/($B$30+$B$25)</f>
        <v>0.67741935483871</v>
      </c>
      <c r="C31" s="10"/>
      <c r="D31" s="11"/>
    </row>
    <row r="33" customFormat="false" ht="19.5" hidden="false" customHeight="true" outlineLevel="0" collapsed="false">
      <c r="A33" s="7" t="s">
        <v>104</v>
      </c>
      <c r="B33" s="7"/>
      <c r="C33" s="7"/>
      <c r="D33" s="7"/>
    </row>
    <row r="34" customFormat="false" ht="15" hidden="false" customHeight="false" outlineLevel="0" collapsed="false">
      <c r="A34" s="12" t="s">
        <v>173</v>
      </c>
      <c r="B34" s="16" t="n">
        <f aca="false">$B$8*$B$16/1000000</f>
        <v>5</v>
      </c>
      <c r="C34" s="10" t="s">
        <v>106</v>
      </c>
      <c r="D34" s="11"/>
    </row>
    <row r="35" customFormat="false" ht="15" hidden="false" customHeight="false" outlineLevel="0" collapsed="false">
      <c r="A35" s="12" t="s">
        <v>174</v>
      </c>
      <c r="B35" s="16" t="n">
        <f aca="false">$B$34*$B$17</f>
        <v>15</v>
      </c>
      <c r="C35" s="10" t="s">
        <v>106</v>
      </c>
      <c r="D35" s="11"/>
    </row>
    <row r="36" customFormat="false" ht="15" hidden="false" customHeight="false" outlineLevel="0" collapsed="false">
      <c r="A36" s="12" t="s">
        <v>108</v>
      </c>
      <c r="B36" s="16" t="n">
        <f aca="false">($B$34+$B$35)*'Цены и константы'!$B$14</f>
        <v>40</v>
      </c>
      <c r="C36" s="10" t="s">
        <v>106</v>
      </c>
      <c r="D36" s="11"/>
    </row>
    <row r="37" customFormat="false" ht="15" hidden="false" customHeight="false" outlineLevel="0" collapsed="false">
      <c r="A37" s="17" t="s">
        <v>110</v>
      </c>
      <c r="B37" s="18" t="n">
        <f aca="false">$B$36*365/1000</f>
        <v>14.6</v>
      </c>
      <c r="C37" s="10" t="s">
        <v>111</v>
      </c>
      <c r="D37" s="11"/>
    </row>
    <row r="38" customFormat="false" ht="15" hidden="false" customHeight="false" outlineLevel="0" collapsed="false">
      <c r="A38" s="17" t="s">
        <v>175</v>
      </c>
      <c r="B38" s="18" t="n">
        <f aca="false">$B$36*365*3/1000</f>
        <v>43.8</v>
      </c>
      <c r="C38" s="10" t="s">
        <v>111</v>
      </c>
      <c r="D38" s="11"/>
    </row>
    <row r="39" customFormat="false" ht="15" hidden="false" customHeight="false" outlineLevel="0" collapsed="false">
      <c r="A39" s="17" t="s">
        <v>112</v>
      </c>
      <c r="B39" s="18" t="n">
        <f aca="false">$B$36*365*$B$20/1000</f>
        <v>73</v>
      </c>
      <c r="C39" s="10" t="s">
        <v>111</v>
      </c>
      <c r="D39" s="11" t="s">
        <v>176</v>
      </c>
    </row>
    <row r="40" customFormat="false" ht="15" hidden="false" customHeight="false" outlineLevel="0" collapsed="false">
      <c r="A40" s="12" t="s">
        <v>113</v>
      </c>
      <c r="B40" s="16" t="n">
        <f aca="false">$B$36*$B$19/1000</f>
        <v>3.6</v>
      </c>
      <c r="C40" s="10" t="s">
        <v>111</v>
      </c>
      <c r="D40" s="11"/>
    </row>
    <row r="41" customFormat="false" ht="15" hidden="false" customHeight="false" outlineLevel="0" collapsed="false">
      <c r="A41" s="12" t="s">
        <v>114</v>
      </c>
      <c r="B41" s="16" t="n">
        <f aca="false">$B$39-$B$40</f>
        <v>69.4</v>
      </c>
      <c r="C41" s="10" t="s">
        <v>111</v>
      </c>
      <c r="D41" s="11"/>
    </row>
    <row r="43" customFormat="false" ht="19.5" hidden="false" customHeight="true" outlineLevel="0" collapsed="false">
      <c r="A43" s="7" t="s">
        <v>115</v>
      </c>
      <c r="B43" s="7"/>
      <c r="C43" s="7"/>
      <c r="D43" s="7"/>
    </row>
    <row r="44" customFormat="false" ht="15" hidden="false" customHeight="false" outlineLevel="0" collapsed="false">
      <c r="A44" s="12" t="s">
        <v>116</v>
      </c>
      <c r="B44" s="16" t="n">
        <f aca="false">($B$29+$B$8)*$B$18/1000000</f>
        <v>94</v>
      </c>
      <c r="C44" s="10" t="s">
        <v>106</v>
      </c>
      <c r="D44" s="11"/>
    </row>
    <row r="45" customFormat="false" ht="15" hidden="false" customHeight="false" outlineLevel="0" collapsed="false">
      <c r="A45" s="17" t="s">
        <v>117</v>
      </c>
      <c r="B45" s="18" t="n">
        <f aca="false">$B$44*30</f>
        <v>2820</v>
      </c>
      <c r="C45" s="10" t="s">
        <v>106</v>
      </c>
      <c r="D45" s="11"/>
    </row>
    <row r="47" customFormat="false" ht="19.5" hidden="false" customHeight="true" outlineLevel="0" collapsed="false">
      <c r="A47" s="7" t="s">
        <v>118</v>
      </c>
      <c r="B47" s="7"/>
      <c r="C47" s="7"/>
      <c r="D47" s="7"/>
    </row>
    <row r="48" customFormat="false" ht="15" hidden="false" customHeight="false" outlineLevel="0" collapsed="false">
      <c r="A48" s="17" t="s">
        <v>119</v>
      </c>
      <c r="B48" s="18" t="n">
        <f aca="false">ROUNDUP(($B$25+$B$30)/'Цены и константы'!$B$12,0)*'Цены и константы'!$B$13</f>
        <v>6</v>
      </c>
      <c r="C48" s="10" t="s">
        <v>120</v>
      </c>
      <c r="D48" s="11"/>
    </row>
    <row r="49" customFormat="false" ht="15" hidden="false" customHeight="false" outlineLevel="0" collapsed="false">
      <c r="A49" s="12" t="s">
        <v>122</v>
      </c>
      <c r="B49" s="15" t="n">
        <v>3</v>
      </c>
      <c r="C49" s="10" t="s">
        <v>120</v>
      </c>
      <c r="D49" s="11" t="s">
        <v>177</v>
      </c>
    </row>
    <row r="50" customFormat="false" ht="15" hidden="false" customHeight="false" outlineLevel="0" collapsed="false">
      <c r="A50" s="12" t="s">
        <v>124</v>
      </c>
      <c r="B50" s="15" t="n">
        <v>8</v>
      </c>
      <c r="C50" s="10" t="s">
        <v>120</v>
      </c>
      <c r="D50" s="11"/>
    </row>
    <row r="51" customFormat="false" ht="15" hidden="false" customHeight="false" outlineLevel="0" collapsed="false">
      <c r="A51" s="12" t="s">
        <v>125</v>
      </c>
      <c r="B51" s="15" t="n">
        <v>4</v>
      </c>
      <c r="C51" s="10" t="s">
        <v>111</v>
      </c>
      <c r="D51" s="11" t="s">
        <v>178</v>
      </c>
    </row>
    <row r="52" customFormat="false" ht="15" hidden="false" customHeight="false" outlineLevel="0" collapsed="false">
      <c r="A52" s="12" t="s">
        <v>127</v>
      </c>
      <c r="B52" s="20" t="n">
        <v>500</v>
      </c>
      <c r="C52" s="10" t="s">
        <v>128</v>
      </c>
      <c r="D52" s="11" t="s">
        <v>129</v>
      </c>
    </row>
    <row r="54" customFormat="false" ht="19.5" hidden="false" customHeight="true" outlineLevel="0" collapsed="false">
      <c r="A54" s="7" t="s">
        <v>130</v>
      </c>
      <c r="B54" s="7"/>
      <c r="C54" s="7"/>
      <c r="D54" s="7"/>
    </row>
    <row r="55" customFormat="false" ht="15" hidden="false" customHeight="false" outlineLevel="0" collapsed="false">
      <c r="A55" s="12" t="s">
        <v>131</v>
      </c>
      <c r="B55" s="21" t="n">
        <f aca="false">$B$48*'Цены и константы'!$B$3</f>
        <v>720</v>
      </c>
      <c r="C55" s="10" t="s">
        <v>128</v>
      </c>
      <c r="D55" s="11"/>
    </row>
    <row r="56" customFormat="false" ht="15" hidden="false" customHeight="false" outlineLevel="0" collapsed="false">
      <c r="A56" s="12" t="s">
        <v>132</v>
      </c>
      <c r="B56" s="21" t="n">
        <f aca="false">($B$49*$B$50*'Цены и константы'!$B$4+$B$51*'Цены и константы'!$B$7)*'Цены и константы'!$B$10</f>
        <v>2240</v>
      </c>
      <c r="C56" s="10" t="s">
        <v>128</v>
      </c>
      <c r="D56" s="11"/>
    </row>
    <row r="57" customFormat="false" ht="15" hidden="false" customHeight="false" outlineLevel="0" collapsed="false">
      <c r="A57" s="12" t="s">
        <v>133</v>
      </c>
      <c r="B57" s="21" t="n">
        <f aca="false">$B$56+$B$52</f>
        <v>2740</v>
      </c>
      <c r="C57" s="10" t="s">
        <v>128</v>
      </c>
      <c r="D57" s="11"/>
    </row>
    <row r="58" customFormat="false" ht="15" hidden="false" customHeight="false" outlineLevel="0" collapsed="false">
      <c r="A58" s="12" t="s">
        <v>134</v>
      </c>
      <c r="B58" s="21" t="n">
        <f aca="false">$B$40*'Цены и константы'!$B$5+$B$41*'Цены и константы'!$B$6</f>
        <v>360.4</v>
      </c>
      <c r="C58" s="10" t="s">
        <v>128</v>
      </c>
      <c r="D58" s="11"/>
    </row>
    <row r="59" customFormat="false" ht="15" hidden="false" customHeight="false" outlineLevel="0" collapsed="false">
      <c r="A59" s="12" t="s">
        <v>135</v>
      </c>
      <c r="B59" s="21" t="n">
        <f aca="false">$B$45*'Цены и константы'!$B$8</f>
        <v>225.6</v>
      </c>
      <c r="C59" s="10" t="s">
        <v>128</v>
      </c>
      <c r="D59" s="11"/>
    </row>
    <row r="60" customFormat="false" ht="15" hidden="false" customHeight="false" outlineLevel="0" collapsed="false">
      <c r="A60" s="17" t="s">
        <v>136</v>
      </c>
      <c r="B60" s="22" t="n">
        <f aca="false">$B$55+$B$57+$B$58+$B$59</f>
        <v>4046</v>
      </c>
      <c r="C60" s="10" t="s">
        <v>128</v>
      </c>
      <c r="D60" s="11"/>
    </row>
    <row r="61" customFormat="false" ht="15" hidden="false" customHeight="false" outlineLevel="0" collapsed="false">
      <c r="A61" s="12" t="s">
        <v>137</v>
      </c>
      <c r="B61" s="23" t="n">
        <f aca="false">$B$55/$B$60</f>
        <v>0.177953534354918</v>
      </c>
      <c r="C61" s="10"/>
      <c r="D61" s="11"/>
    </row>
    <row r="62" customFormat="false" ht="15" hidden="false" customHeight="false" outlineLevel="0" collapsed="false">
      <c r="A62" s="12" t="s">
        <v>138</v>
      </c>
      <c r="B62" s="23" t="n">
        <f aca="false">$B$57/$B$60</f>
        <v>0.677212061295106</v>
      </c>
      <c r="C62" s="10"/>
      <c r="D62" s="11"/>
    </row>
    <row r="63" customFormat="false" ht="15" hidden="false" customHeight="false" outlineLevel="0" collapsed="false">
      <c r="A63" s="12" t="s">
        <v>139</v>
      </c>
      <c r="B63" s="23" t="n">
        <f aca="false">$B$58/$B$60</f>
        <v>0.0890756302521008</v>
      </c>
      <c r="C63" s="10"/>
      <c r="D63" s="11"/>
    </row>
    <row r="64" customFormat="false" ht="15" hidden="false" customHeight="false" outlineLevel="0" collapsed="false">
      <c r="A64" s="12" t="s">
        <v>140</v>
      </c>
      <c r="B64" s="23" t="n">
        <f aca="false">$B$59/$B$60</f>
        <v>0.0557587740978744</v>
      </c>
      <c r="C64" s="10"/>
      <c r="D64" s="11"/>
    </row>
    <row r="65" customFormat="false" ht="15" hidden="false" customHeight="false" outlineLevel="0" collapsed="false">
      <c r="A65" s="17" t="s">
        <v>141</v>
      </c>
      <c r="B65" s="24" t="n">
        <f aca="false">$B$60/$B$6</f>
        <v>0.004046</v>
      </c>
      <c r="C65" s="10" t="s">
        <v>128</v>
      </c>
      <c r="D65" s="11"/>
    </row>
    <row r="67" customFormat="false" ht="19.5" hidden="false" customHeight="true" outlineLevel="0" collapsed="false">
      <c r="A67" s="7" t="s">
        <v>143</v>
      </c>
      <c r="B67" s="7"/>
      <c r="C67" s="7"/>
      <c r="D67" s="7"/>
    </row>
    <row r="68" customFormat="false" ht="30" hidden="false" customHeight="true" outlineLevel="0" collapsed="false">
      <c r="A68" s="14" t="s">
        <v>144</v>
      </c>
      <c r="B68" s="14"/>
      <c r="C68" s="14"/>
      <c r="D68" s="14"/>
    </row>
    <row r="69" customFormat="false" ht="15" hidden="false" customHeight="false" outlineLevel="0" collapsed="false">
      <c r="A69" s="25" t="s">
        <v>145</v>
      </c>
      <c r="B69" s="25" t="s">
        <v>146</v>
      </c>
      <c r="C69" s="25" t="s">
        <v>147</v>
      </c>
      <c r="D69" s="25" t="s">
        <v>148</v>
      </c>
    </row>
    <row r="70" customFormat="false" ht="15" hidden="false" customHeight="false" outlineLevel="0" collapsed="false">
      <c r="A70" s="12"/>
      <c r="B70" s="20"/>
      <c r="C70" s="10" t="s">
        <v>128</v>
      </c>
      <c r="D70" s="11"/>
    </row>
    <row r="71" customFormat="false" ht="15" hidden="false" customHeight="false" outlineLevel="0" collapsed="false">
      <c r="A71" s="12"/>
      <c r="B71" s="20"/>
      <c r="C71" s="10" t="s">
        <v>128</v>
      </c>
      <c r="D71" s="11"/>
    </row>
    <row r="72" customFormat="false" ht="15" hidden="false" customHeight="false" outlineLevel="0" collapsed="false">
      <c r="A72" s="12"/>
      <c r="B72" s="20"/>
      <c r="C72" s="10" t="s">
        <v>128</v>
      </c>
      <c r="D72" s="11"/>
    </row>
    <row r="73" customFormat="false" ht="15" hidden="false" customHeight="false" outlineLevel="0" collapsed="false">
      <c r="A73" s="12"/>
      <c r="B73" s="20"/>
      <c r="C73" s="10" t="s">
        <v>128</v>
      </c>
      <c r="D73" s="11"/>
    </row>
    <row r="74" customFormat="false" ht="15" hidden="false" customHeight="false" outlineLevel="0" collapsed="false">
      <c r="A74" s="12"/>
      <c r="B74" s="20"/>
      <c r="C74" s="10" t="s">
        <v>128</v>
      </c>
      <c r="D74" s="11"/>
    </row>
  </sheetData>
  <mergeCells count="2">
    <mergeCell ref="A11:D11"/>
    <mergeCell ref="A68:D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66"/>
  </cols>
  <sheetData>
    <row r="1" customFormat="false" ht="18.55" hidden="false" customHeight="false" outlineLevel="0" collapsed="false">
      <c r="A1" s="6" t="s">
        <v>179</v>
      </c>
    </row>
    <row r="2" customFormat="false" ht="15" hidden="false" customHeight="false" outlineLevel="0" collapsed="false">
      <c r="A2" s="10" t="s">
        <v>180</v>
      </c>
    </row>
    <row r="4" customFormat="false" ht="19.5" hidden="false" customHeight="true" outlineLevel="0" collapsed="false">
      <c r="A4" s="7" t="s">
        <v>58</v>
      </c>
      <c r="B4" s="7"/>
      <c r="C4" s="7"/>
      <c r="D4" s="7"/>
    </row>
    <row r="5" customFormat="false" ht="15" hidden="false" customHeight="false" outlineLevel="0" collapsed="false">
      <c r="A5" s="12" t="s">
        <v>59</v>
      </c>
      <c r="B5" s="13" t="n">
        <v>3000000</v>
      </c>
      <c r="C5" s="10"/>
      <c r="D5" s="11"/>
    </row>
    <row r="6" customFormat="false" ht="15" hidden="false" customHeight="false" outlineLevel="0" collapsed="false">
      <c r="A6" s="12" t="s">
        <v>60</v>
      </c>
      <c r="B6" s="13" t="n">
        <v>300000</v>
      </c>
      <c r="C6" s="10"/>
      <c r="D6" s="11"/>
    </row>
    <row r="7" customFormat="false" ht="15" hidden="false" customHeight="false" outlineLevel="0" collapsed="false">
      <c r="A7" s="12" t="s">
        <v>61</v>
      </c>
      <c r="B7" s="13" t="n">
        <v>5</v>
      </c>
      <c r="C7" s="10" t="s">
        <v>42</v>
      </c>
      <c r="D7" s="11" t="s">
        <v>181</v>
      </c>
    </row>
    <row r="8" customFormat="false" ht="15" hidden="false" customHeight="false" outlineLevel="0" collapsed="false">
      <c r="A8" s="12" t="s">
        <v>182</v>
      </c>
      <c r="B8" s="13" t="n">
        <f aca="false">$B$5/30</f>
        <v>100000</v>
      </c>
      <c r="C8" s="10"/>
      <c r="D8" s="11" t="s">
        <v>183</v>
      </c>
    </row>
    <row r="10" customFormat="false" ht="19.5" hidden="false" customHeight="true" outlineLevel="0" collapsed="false">
      <c r="A10" s="7" t="s">
        <v>65</v>
      </c>
      <c r="B10" s="7"/>
      <c r="C10" s="7"/>
      <c r="D10" s="7"/>
    </row>
    <row r="11" customFormat="false" ht="30" hidden="false" customHeight="true" outlineLevel="0" collapsed="false">
      <c r="A11" s="14" t="s">
        <v>184</v>
      </c>
      <c r="B11" s="14"/>
      <c r="C11" s="14"/>
      <c r="D11" s="14"/>
    </row>
    <row r="12" customFormat="false" ht="15" hidden="false" customHeight="false" outlineLevel="0" collapsed="false">
      <c r="A12" s="12" t="s">
        <v>185</v>
      </c>
      <c r="B12" s="15" t="n">
        <v>30</v>
      </c>
      <c r="C12" s="10"/>
      <c r="D12" s="11" t="s">
        <v>186</v>
      </c>
    </row>
    <row r="13" customFormat="false" ht="15" hidden="false" customHeight="false" outlineLevel="0" collapsed="false">
      <c r="A13" s="12" t="s">
        <v>187</v>
      </c>
      <c r="B13" s="15" t="n">
        <v>5</v>
      </c>
      <c r="C13" s="10"/>
      <c r="D13" s="11" t="s">
        <v>188</v>
      </c>
    </row>
    <row r="14" customFormat="false" ht="15" hidden="false" customHeight="false" outlineLevel="0" collapsed="false">
      <c r="A14" s="12" t="s">
        <v>189</v>
      </c>
      <c r="B14" s="15" t="n">
        <v>4</v>
      </c>
      <c r="C14" s="10"/>
      <c r="D14" s="11" t="s">
        <v>190</v>
      </c>
    </row>
    <row r="15" customFormat="false" ht="15" hidden="false" customHeight="false" outlineLevel="0" collapsed="false">
      <c r="A15" s="12" t="s">
        <v>191</v>
      </c>
      <c r="B15" s="15" t="n">
        <v>2</v>
      </c>
      <c r="C15" s="10"/>
      <c r="D15" s="11" t="s">
        <v>192</v>
      </c>
    </row>
    <row r="16" customFormat="false" ht="15" hidden="false" customHeight="false" outlineLevel="0" collapsed="false">
      <c r="A16" s="12" t="s">
        <v>193</v>
      </c>
      <c r="B16" s="15" t="n">
        <v>3</v>
      </c>
      <c r="C16" s="10" t="s">
        <v>82</v>
      </c>
      <c r="D16" s="11" t="s">
        <v>194</v>
      </c>
    </row>
    <row r="17" customFormat="false" ht="15" hidden="false" customHeight="false" outlineLevel="0" collapsed="false">
      <c r="A17" s="12" t="s">
        <v>84</v>
      </c>
      <c r="B17" s="15" t="n">
        <v>3</v>
      </c>
      <c r="C17" s="10" t="s">
        <v>82</v>
      </c>
      <c r="D17" s="11" t="s">
        <v>195</v>
      </c>
    </row>
    <row r="18" customFormat="false" ht="15" hidden="false" customHeight="false" outlineLevel="0" collapsed="false">
      <c r="A18" s="12" t="s">
        <v>86</v>
      </c>
      <c r="B18" s="15" t="n">
        <v>90</v>
      </c>
      <c r="C18" s="10" t="s">
        <v>87</v>
      </c>
      <c r="D18" s="11"/>
    </row>
    <row r="19" customFormat="false" ht="15" hidden="false" customHeight="false" outlineLevel="0" collapsed="false">
      <c r="A19" s="12" t="s">
        <v>89</v>
      </c>
      <c r="B19" s="15" t="n">
        <v>3</v>
      </c>
      <c r="C19" s="10" t="s">
        <v>90</v>
      </c>
      <c r="D19" s="11"/>
    </row>
    <row r="21" customFormat="false" ht="19.5" hidden="false" customHeight="true" outlineLevel="0" collapsed="false">
      <c r="A21" s="7" t="s">
        <v>91</v>
      </c>
      <c r="B21" s="7"/>
      <c r="C21" s="7"/>
      <c r="D21" s="7"/>
    </row>
    <row r="22" customFormat="false" ht="15" hidden="false" customHeight="false" outlineLevel="0" collapsed="false">
      <c r="A22" s="12" t="s">
        <v>196</v>
      </c>
      <c r="B22" s="16" t="n">
        <f aca="false">$B$8/'Цены и константы'!$B$15*$B$7</f>
        <v>5.78703703703704</v>
      </c>
      <c r="C22" s="10" t="s">
        <v>46</v>
      </c>
      <c r="D22" s="11" t="s">
        <v>197</v>
      </c>
    </row>
    <row r="23" customFormat="false" ht="15" hidden="false" customHeight="false" outlineLevel="0" collapsed="false">
      <c r="A23" s="17" t="s">
        <v>95</v>
      </c>
      <c r="B23" s="18" t="n">
        <f aca="false">$B$22</f>
        <v>5.78703703703704</v>
      </c>
      <c r="C23" s="10" t="s">
        <v>46</v>
      </c>
      <c r="D23" s="11"/>
    </row>
    <row r="24" customFormat="false" ht="15" hidden="false" customHeight="false" outlineLevel="0" collapsed="false">
      <c r="A24" s="12" t="s">
        <v>198</v>
      </c>
      <c r="B24" s="16" t="n">
        <f aca="false">$B$8*$B$12*$B$14</f>
        <v>12000000</v>
      </c>
      <c r="C24" s="10"/>
      <c r="D24" s="11"/>
    </row>
    <row r="25" customFormat="false" ht="15" hidden="false" customHeight="false" outlineLevel="0" collapsed="false">
      <c r="A25" s="12" t="s">
        <v>199</v>
      </c>
      <c r="B25" s="16" t="n">
        <f aca="false">$B$8*$B$13*$B$15</f>
        <v>1000000</v>
      </c>
      <c r="C25" s="10"/>
      <c r="D25" s="11"/>
    </row>
    <row r="26" customFormat="false" ht="15" hidden="false" customHeight="false" outlineLevel="0" collapsed="false">
      <c r="A26" s="12" t="s">
        <v>172</v>
      </c>
      <c r="B26" s="16" t="n">
        <f aca="false">$B$24+$B$25</f>
        <v>13000000</v>
      </c>
      <c r="C26" s="10"/>
      <c r="D26" s="11"/>
    </row>
    <row r="27" customFormat="false" ht="15" hidden="false" customHeight="false" outlineLevel="0" collapsed="false">
      <c r="A27" s="17" t="s">
        <v>101</v>
      </c>
      <c r="B27" s="18" t="n">
        <f aca="false">$B$26/'Цены и константы'!$B$15*$B$7</f>
        <v>752.314814814815</v>
      </c>
      <c r="C27" s="10" t="s">
        <v>46</v>
      </c>
      <c r="D27" s="11"/>
    </row>
    <row r="28" customFormat="false" ht="15" hidden="false" customHeight="false" outlineLevel="0" collapsed="false">
      <c r="A28" s="17" t="s">
        <v>200</v>
      </c>
      <c r="B28" s="18" t="n">
        <f aca="false">$B$27/$B$23</f>
        <v>130</v>
      </c>
      <c r="C28" s="10" t="s">
        <v>42</v>
      </c>
      <c r="D28" s="11" t="s">
        <v>201</v>
      </c>
    </row>
    <row r="30" customFormat="false" ht="19.5" hidden="false" customHeight="true" outlineLevel="0" collapsed="false">
      <c r="A30" s="7" t="s">
        <v>104</v>
      </c>
      <c r="B30" s="7"/>
      <c r="C30" s="7"/>
      <c r="D30" s="7"/>
    </row>
    <row r="31" customFormat="false" ht="15" hidden="false" customHeight="false" outlineLevel="0" collapsed="false">
      <c r="A31" s="12" t="s">
        <v>202</v>
      </c>
      <c r="B31" s="16" t="n">
        <f aca="false">$B$8*$B$16/1000000</f>
        <v>0.3</v>
      </c>
      <c r="C31" s="10" t="s">
        <v>106</v>
      </c>
      <c r="D31" s="11"/>
    </row>
    <row r="32" customFormat="false" ht="15" hidden="false" customHeight="false" outlineLevel="0" collapsed="false">
      <c r="A32" s="12" t="s">
        <v>203</v>
      </c>
      <c r="B32" s="16" t="n">
        <f aca="false">$B$26*0.2/1000000</f>
        <v>2.6</v>
      </c>
      <c r="C32" s="10" t="s">
        <v>106</v>
      </c>
      <c r="D32" s="11" t="s">
        <v>204</v>
      </c>
    </row>
    <row r="33" customFormat="false" ht="15" hidden="false" customHeight="false" outlineLevel="0" collapsed="false">
      <c r="A33" s="12" t="s">
        <v>108</v>
      </c>
      <c r="B33" s="16" t="n">
        <f aca="false">($B$31+$B$32)*'Цены и константы'!$B$14</f>
        <v>5.8</v>
      </c>
      <c r="C33" s="10" t="s">
        <v>106</v>
      </c>
      <c r="D33" s="11"/>
    </row>
    <row r="34" customFormat="false" ht="15" hidden="false" customHeight="false" outlineLevel="0" collapsed="false">
      <c r="A34" s="17" t="s">
        <v>110</v>
      </c>
      <c r="B34" s="18" t="n">
        <f aca="false">$B$33*365/1000</f>
        <v>2.117</v>
      </c>
      <c r="C34" s="10" t="s">
        <v>111</v>
      </c>
      <c r="D34" s="11"/>
    </row>
    <row r="35" customFormat="false" ht="15" hidden="false" customHeight="false" outlineLevel="0" collapsed="false">
      <c r="A35" s="17" t="s">
        <v>112</v>
      </c>
      <c r="B35" s="18" t="n">
        <f aca="false">$B$33*365*$B$19/1000</f>
        <v>6.351</v>
      </c>
      <c r="C35" s="10" t="s">
        <v>111</v>
      </c>
      <c r="D35" s="11"/>
    </row>
    <row r="36" customFormat="false" ht="15" hidden="false" customHeight="false" outlineLevel="0" collapsed="false">
      <c r="A36" s="12" t="s">
        <v>113</v>
      </c>
      <c r="B36" s="16" t="n">
        <f aca="false">$B$33*$B$18/1000</f>
        <v>0.522</v>
      </c>
      <c r="C36" s="10" t="s">
        <v>111</v>
      </c>
      <c r="D36" s="11"/>
    </row>
    <row r="37" customFormat="false" ht="15" hidden="false" customHeight="false" outlineLevel="0" collapsed="false">
      <c r="A37" s="12" t="s">
        <v>114</v>
      </c>
      <c r="B37" s="16" t="n">
        <f aca="false">$B$35-$B$36</f>
        <v>5.829</v>
      </c>
      <c r="C37" s="10" t="s">
        <v>111</v>
      </c>
      <c r="D37" s="11"/>
    </row>
    <row r="39" customFormat="false" ht="19.5" hidden="false" customHeight="true" outlineLevel="0" collapsed="false">
      <c r="A39" s="7" t="s">
        <v>115</v>
      </c>
      <c r="B39" s="7"/>
      <c r="C39" s="7"/>
      <c r="D39" s="7"/>
    </row>
    <row r="40" customFormat="false" ht="15" hidden="false" customHeight="false" outlineLevel="0" collapsed="false">
      <c r="A40" s="12" t="s">
        <v>116</v>
      </c>
      <c r="B40" s="16" t="n">
        <f aca="false">$B$26*$B$17/1000000</f>
        <v>39</v>
      </c>
      <c r="C40" s="10" t="s">
        <v>106</v>
      </c>
      <c r="D40" s="11"/>
    </row>
    <row r="41" customFormat="false" ht="15" hidden="false" customHeight="false" outlineLevel="0" collapsed="false">
      <c r="A41" s="17" t="s">
        <v>117</v>
      </c>
      <c r="B41" s="18" t="n">
        <f aca="false">$B$40*30</f>
        <v>1170</v>
      </c>
      <c r="C41" s="10" t="s">
        <v>106</v>
      </c>
      <c r="D41" s="11"/>
    </row>
    <row r="43" customFormat="false" ht="19.5" hidden="false" customHeight="true" outlineLevel="0" collapsed="false">
      <c r="A43" s="7" t="s">
        <v>118</v>
      </c>
      <c r="B43" s="7"/>
      <c r="C43" s="7"/>
      <c r="D43" s="7"/>
    </row>
    <row r="44" customFormat="false" ht="15" hidden="false" customHeight="false" outlineLevel="0" collapsed="false">
      <c r="A44" s="17" t="s">
        <v>119</v>
      </c>
      <c r="B44" s="18" t="n">
        <f aca="false">ROUNDUP(($B$23+$B$27)/'Цены и константы'!$B$12,0)*'Цены и константы'!$B$13</f>
        <v>2</v>
      </c>
      <c r="C44" s="10" t="s">
        <v>120</v>
      </c>
      <c r="D44" s="11"/>
    </row>
    <row r="45" customFormat="false" ht="15" hidden="false" customHeight="false" outlineLevel="0" collapsed="false">
      <c r="A45" s="12" t="s">
        <v>122</v>
      </c>
      <c r="B45" s="15" t="n">
        <v>3</v>
      </c>
      <c r="C45" s="10" t="s">
        <v>120</v>
      </c>
      <c r="D45" s="11"/>
    </row>
    <row r="46" customFormat="false" ht="15" hidden="false" customHeight="false" outlineLevel="0" collapsed="false">
      <c r="A46" s="12" t="s">
        <v>124</v>
      </c>
      <c r="B46" s="15" t="n">
        <v>8</v>
      </c>
      <c r="C46" s="10" t="s">
        <v>120</v>
      </c>
      <c r="D46" s="11"/>
    </row>
    <row r="47" customFormat="false" ht="15" hidden="false" customHeight="false" outlineLevel="0" collapsed="false">
      <c r="A47" s="12" t="s">
        <v>125</v>
      </c>
      <c r="B47" s="15" t="n">
        <v>2</v>
      </c>
      <c r="C47" s="10" t="s">
        <v>111</v>
      </c>
      <c r="D47" s="11"/>
    </row>
    <row r="48" customFormat="false" ht="15" hidden="false" customHeight="false" outlineLevel="0" collapsed="false">
      <c r="A48" s="12" t="s">
        <v>205</v>
      </c>
      <c r="B48" s="20" t="n">
        <v>800</v>
      </c>
      <c r="C48" s="10" t="s">
        <v>128</v>
      </c>
      <c r="D48" s="11" t="s">
        <v>206</v>
      </c>
    </row>
    <row r="50" customFormat="false" ht="19.5" hidden="false" customHeight="true" outlineLevel="0" collapsed="false">
      <c r="A50" s="7" t="s">
        <v>130</v>
      </c>
      <c r="B50" s="7"/>
      <c r="C50" s="7"/>
      <c r="D50" s="7"/>
    </row>
    <row r="51" customFormat="false" ht="15" hidden="false" customHeight="false" outlineLevel="0" collapsed="false">
      <c r="A51" s="12" t="s">
        <v>131</v>
      </c>
      <c r="B51" s="21" t="n">
        <f aca="false">$B$44*'Цены и константы'!$B$3</f>
        <v>240</v>
      </c>
      <c r="C51" s="10" t="s">
        <v>128</v>
      </c>
      <c r="D51" s="11"/>
    </row>
    <row r="52" customFormat="false" ht="15" hidden="false" customHeight="false" outlineLevel="0" collapsed="false">
      <c r="A52" s="12" t="s">
        <v>132</v>
      </c>
      <c r="B52" s="21" t="n">
        <f aca="false">($B$45*$B$46*'Цены и константы'!$B$4+$B$47*'Цены и константы'!$B$7)*'Цены и константы'!$B$10</f>
        <v>1840</v>
      </c>
      <c r="C52" s="10" t="s">
        <v>128</v>
      </c>
      <c r="D52" s="11"/>
    </row>
    <row r="53" customFormat="false" ht="15" hidden="false" customHeight="false" outlineLevel="0" collapsed="false">
      <c r="A53" s="12" t="s">
        <v>133</v>
      </c>
      <c r="B53" s="21" t="n">
        <f aca="false">$B$52+$B$48</f>
        <v>2640</v>
      </c>
      <c r="C53" s="10" t="s">
        <v>128</v>
      </c>
      <c r="D53" s="11"/>
    </row>
    <row r="54" customFormat="false" ht="15" hidden="false" customHeight="false" outlineLevel="0" collapsed="false">
      <c r="A54" s="12" t="s">
        <v>134</v>
      </c>
      <c r="B54" s="21" t="n">
        <f aca="false">$B$36*'Цены и константы'!$B$5+$B$37*'Цены и константы'!$B$6</f>
        <v>35.322</v>
      </c>
      <c r="C54" s="10" t="s">
        <v>128</v>
      </c>
      <c r="D54" s="11"/>
    </row>
    <row r="55" customFormat="false" ht="15" hidden="false" customHeight="false" outlineLevel="0" collapsed="false">
      <c r="A55" s="12" t="s">
        <v>135</v>
      </c>
      <c r="B55" s="21" t="n">
        <f aca="false">$B$41*'Цены и константы'!$B$8</f>
        <v>93.6</v>
      </c>
      <c r="C55" s="10" t="s">
        <v>128</v>
      </c>
      <c r="D55" s="11"/>
    </row>
    <row r="56" customFormat="false" ht="15" hidden="false" customHeight="false" outlineLevel="0" collapsed="false">
      <c r="A56" s="17" t="s">
        <v>136</v>
      </c>
      <c r="B56" s="22" t="n">
        <f aca="false">$B$51+$B$53+$B$54+$B$55</f>
        <v>3008.922</v>
      </c>
      <c r="C56" s="10" t="s">
        <v>128</v>
      </c>
      <c r="D56" s="11"/>
    </row>
    <row r="57" customFormat="false" ht="15" hidden="false" customHeight="false" outlineLevel="0" collapsed="false">
      <c r="A57" s="12" t="s">
        <v>137</v>
      </c>
      <c r="B57" s="23" t="n">
        <f aca="false">$B$51/$B$56</f>
        <v>0.0797627854759944</v>
      </c>
      <c r="C57" s="10"/>
      <c r="D57" s="11"/>
    </row>
    <row r="58" customFormat="false" ht="15" hidden="false" customHeight="false" outlineLevel="0" collapsed="false">
      <c r="A58" s="12" t="s">
        <v>138</v>
      </c>
      <c r="B58" s="23" t="n">
        <f aca="false">$B$53/$B$56</f>
        <v>0.877390640235938</v>
      </c>
      <c r="C58" s="10"/>
      <c r="D58" s="11"/>
    </row>
    <row r="59" customFormat="false" ht="15" hidden="false" customHeight="false" outlineLevel="0" collapsed="false">
      <c r="A59" s="12" t="s">
        <v>139</v>
      </c>
      <c r="B59" s="23" t="n">
        <f aca="false">$B$54/$B$56</f>
        <v>0.0117390879524295</v>
      </c>
      <c r="C59" s="10"/>
      <c r="D59" s="11"/>
    </row>
    <row r="60" customFormat="false" ht="15" hidden="false" customHeight="false" outlineLevel="0" collapsed="false">
      <c r="A60" s="12" t="s">
        <v>140</v>
      </c>
      <c r="B60" s="23" t="n">
        <f aca="false">$B$55/$B$56</f>
        <v>0.0311074863356378</v>
      </c>
      <c r="C60" s="10"/>
      <c r="D60" s="11"/>
    </row>
    <row r="61" customFormat="false" ht="15" hidden="false" customHeight="false" outlineLevel="0" collapsed="false">
      <c r="A61" s="17" t="s">
        <v>141</v>
      </c>
      <c r="B61" s="24" t="n">
        <f aca="false">$B$56/$B$6</f>
        <v>0.01002974</v>
      </c>
      <c r="C61" s="10" t="s">
        <v>128</v>
      </c>
      <c r="D61" s="11"/>
    </row>
    <row r="63" customFormat="false" ht="19.5" hidden="false" customHeight="true" outlineLevel="0" collapsed="false">
      <c r="A63" s="7" t="s">
        <v>143</v>
      </c>
      <c r="B63" s="7"/>
      <c r="C63" s="7"/>
      <c r="D63" s="7"/>
    </row>
    <row r="64" customFormat="false" ht="30" hidden="false" customHeight="true" outlineLevel="0" collapsed="false">
      <c r="A64" s="14" t="s">
        <v>144</v>
      </c>
      <c r="B64" s="14"/>
      <c r="C64" s="14"/>
      <c r="D64" s="14"/>
    </row>
    <row r="65" customFormat="false" ht="15" hidden="false" customHeight="false" outlineLevel="0" collapsed="false">
      <c r="A65" s="25" t="s">
        <v>145</v>
      </c>
      <c r="B65" s="25" t="s">
        <v>146</v>
      </c>
      <c r="C65" s="25" t="s">
        <v>147</v>
      </c>
      <c r="D65" s="25" t="s">
        <v>148</v>
      </c>
    </row>
    <row r="66" customFormat="false" ht="15" hidden="false" customHeight="false" outlineLevel="0" collapsed="false">
      <c r="A66" s="12"/>
      <c r="B66" s="20"/>
      <c r="C66" s="10" t="s">
        <v>128</v>
      </c>
      <c r="D66" s="11"/>
    </row>
    <row r="67" customFormat="false" ht="15" hidden="false" customHeight="false" outlineLevel="0" collapsed="false">
      <c r="A67" s="12"/>
      <c r="B67" s="20"/>
      <c r="C67" s="10" t="s">
        <v>128</v>
      </c>
      <c r="D67" s="11"/>
    </row>
    <row r="68" customFormat="false" ht="15" hidden="false" customHeight="false" outlineLevel="0" collapsed="false">
      <c r="A68" s="12"/>
      <c r="B68" s="20"/>
      <c r="C68" s="10" t="s">
        <v>128</v>
      </c>
      <c r="D68" s="11"/>
    </row>
    <row r="69" customFormat="false" ht="15" hidden="false" customHeight="false" outlineLevel="0" collapsed="false">
      <c r="A69" s="12"/>
      <c r="B69" s="20"/>
      <c r="C69" s="10" t="s">
        <v>128</v>
      </c>
      <c r="D69" s="11"/>
    </row>
    <row r="70" customFormat="false" ht="15" hidden="false" customHeight="false" outlineLevel="0" collapsed="false">
      <c r="A70" s="12"/>
      <c r="B70" s="20"/>
      <c r="C70" s="10" t="s">
        <v>128</v>
      </c>
      <c r="D70" s="11"/>
    </row>
  </sheetData>
  <mergeCells count="2">
    <mergeCell ref="A11:D11"/>
    <mergeCell ref="A64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2026-08-10T16:17:55Z</dcterms:created>
  <dc:creator>openpyxl</dc:creator>
  <dc:description/>
  <dc:language>ru-RU</dc:language>
  <cp:lastModifiedBy/>
  <dcterms:modified xsi:type="dcterms:W3CDTF">2026-08-10T16:17:55Z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